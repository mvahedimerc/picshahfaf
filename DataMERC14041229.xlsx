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2260" windowHeight="12645" activeTab="1"/>
  </bookViews>
  <sheets>
    <sheet name="پژوهشکده ها" sheetId="6" r:id="rId1"/>
    <sheet name="گزارش کارکنان 14041229" sheetId="2" r:id="rId2"/>
    <sheet name="آماردانشجویی14041229" sheetId="4" r:id="rId3"/>
    <sheet name="پروژه منعقد شده" sheetId="7" r:id="rId4"/>
  </sheets>
  <externalReferences>
    <externalReference r:id="rId5"/>
    <externalReference r:id="rId6"/>
  </externalReferences>
  <definedNames>
    <definedName name="_1402_0701_دریافت_پیش_پرداخت" localSheetId="3">#REF!</definedName>
    <definedName name="_1402_0701_دریافت_پیش_پرداخت" localSheetId="0">#REF!</definedName>
    <definedName name="_1402_0701_دریافت_پیش_پرداخت" localSheetId="1">#REF!</definedName>
    <definedName name="_1402_0701_دریافت_پیش_پرداخت">#REF!</definedName>
    <definedName name="_xlnm._FilterDatabase" localSheetId="1" hidden="1">'گزارش کارکنان 14041229'!#REF!</definedName>
    <definedName name="dastresi">[1]!Table9[موقعيت دسترسي]</definedName>
    <definedName name="estekhdam">[1]!Table5[نوع استخدام]</definedName>
    <definedName name="faza">[1]!Table8[نوع فضا]</definedName>
    <definedName name="garma">[1]!Table1[كيفيت سيستم گرمايش]</definedName>
    <definedName name="hamka">[1]!Table7[hamkari]</definedName>
    <definedName name="hamkar" localSheetId="3">#REF!</definedName>
    <definedName name="hamkar" localSheetId="0">#REF!</definedName>
    <definedName name="hamkar">#REF!</definedName>
    <definedName name="hamkar1">[1]!Table6[hamkar]</definedName>
    <definedName name="hamkari" localSheetId="3">#REF!</definedName>
    <definedName name="hamkari" localSheetId="0">#REF!</definedName>
    <definedName name="hamkari">#REF!</definedName>
    <definedName name="madrak">[1]!Table4[madrak]</definedName>
    <definedName name="Main">[1]!Table3[زمینه فعالیت اصلی]</definedName>
    <definedName name="_xlnm.Print_Titles" localSheetId="3">'پروژه منعقد شده'!$2:$2</definedName>
    <definedName name="sarma">[1]!Table10[كيفيت سيستم سرمایش]</definedName>
    <definedName name="Type01">[1]!Table11[Type01]</definedName>
    <definedName name="Type02">[1]!Table12[Type02]</definedName>
    <definedName name="Type03">[1]!Table13[Type03]</definedName>
    <definedName name="Type04">[1]!Table14[Type04]</definedName>
    <definedName name="Type05">[1]!Table15[Type05]</definedName>
    <definedName name="Type06">[1]!Table16[Type06]</definedName>
    <definedName name="Type07">[1]!Table17[Type07]</definedName>
    <definedName name="Type08">[1]!Table18[Type08]</definedName>
    <definedName name="Type09">[1]!Table19[Type09]</definedName>
    <definedName name="Type10">[1]!Table20[Type10]</definedName>
    <definedName name="Type11">[1]!Table21[Type11]</definedName>
    <definedName name="Type12">[1]!Table22[Type12]</definedName>
    <definedName name="Type13">[1]!Table23[Type13]</definedName>
    <definedName name="Type14">[1]!Table24[Type14]</definedName>
    <definedName name="TypeLookUP1">[1]List!$B$3:$C$18</definedName>
    <definedName name="الکترونیک_قدرت" localSheetId="3">'[1]Sheet15 (2)'!#REF!</definedName>
    <definedName name="الکترونیک_قدرت" localSheetId="0">'[1]Sheet15 (2)'!#REF!</definedName>
    <definedName name="الکترونیک_قدرت">'[1]Sheet15 (2)'!#REF!</definedName>
    <definedName name="امنیت_فضای_تبادل_اطلاعات" localSheetId="3">'[1]Sheet15 (2)'!#REF!</definedName>
    <definedName name="امنیت_فضای_تبادل_اطلاعات" localSheetId="0">'[1]Sheet15 (2)'!#REF!</definedName>
    <definedName name="امنیت_فضای_تبادل_اطلاعات">'[1]Sheet15 (2)'!#REF!</definedName>
    <definedName name="انتقال" localSheetId="3">'[1]Sheet15 (2)'!#REF!</definedName>
    <definedName name="انتقال" localSheetId="0">'[1]Sheet15 (2)'!#REF!</definedName>
    <definedName name="انتقال">'[1]Sheet15 (2)'!#REF!</definedName>
    <definedName name="اندازه‌گیری_و_ابزار_دقیق" localSheetId="3">'[1]Sheet15 (2)'!#REF!</definedName>
    <definedName name="اندازه‌گیری_و_ابزار_دقیق" localSheetId="0">'[1]Sheet15 (2)'!#REF!</definedName>
    <definedName name="اندازه‌گیری_و_ابزار_دقیق">'[1]Sheet15 (2)'!#REF!</definedName>
    <definedName name="برنامه‌های_کاربردی">'[1]Sheet15 (2)'!#REF!</definedName>
    <definedName name="بسته‌های_دانش_فنی_واحدهای_پالایشی_و_پتروشیمی">'[1]Sheet15 (2)'!#REF!</definedName>
    <definedName name="پلتفرم">'[1]Sheet15 (2)'!#REF!</definedName>
    <definedName name="تجهیزات__مواد_و_ملزومات_دندان‌پزشکی">'[1]Sheet15 (2)'!#REF!</definedName>
    <definedName name="تجهیزات_اختصاصی_تولید_نانومواد">'[1]Sheet15 (2)'!#REF!</definedName>
    <definedName name="تجهیزات_ارتباطی__مخابراتی__اویونیک_و_هوافضا">'[1]Sheet15 (2)'!#REF!</definedName>
    <definedName name="تجهیزات_آزمایشگاهی_و_تجهیزات_تست_و_آزمون__کنترل_کیفی">'[1]Sheet15 (2)'!#REF!</definedName>
    <definedName name="تجهیزات_بیمارستانی">'[1]Sheet15 (2)'!#REF!</definedName>
    <definedName name="تجهیزات_پیشرفته_آزمون_کالیبراسیون_تجهیزات_پزشکی">'[1]Sheet15 (2)'!#REF!</definedName>
    <definedName name="تجهیزات_پیشرفته_حوزه_انرژی_های_تجدیدپذیر">'[1]Sheet15 (2)'!#REF!</definedName>
    <definedName name="تجهیزات_پیشرفته_سایر_حوزه‌ها">'[1]Sheet15 (2)'!#REF!</definedName>
    <definedName name="تجهیزات_پیشرفته_هسته‌ای">'[1]Sheet15 (2)'!#REF!</definedName>
    <definedName name="تجهیزات_ساخت_و_تولید_مواد_و_قطعات_فلزی__سرامیکی__پلیمری_و_کامپوزیتی">'[1]Sheet15 (2)'!#REF!</definedName>
    <definedName name="تجهیزات_و_ملزومات_پزشکی">'[1]Sheet15 (2)'!#REF!</definedName>
    <definedName name="تجهیزات_و_مواد_آزمایشگاه_طبی">'[1]Sheet15 (2)'!#REF!</definedName>
    <definedName name="توزیع">'[1]Sheet15 (2)'!#REF!</definedName>
    <definedName name="توسعه_گری_فضاهای_نوآوری">'[1]Sheet15 (2)'!#REF!</definedName>
    <definedName name="تولید">'[1]Sheet15 (2)'!#REF!</definedName>
    <definedName name="تولید_مواد_اولیه_سنتتیک_دارویی_و_مکمل__مواد_موثره__اکسپیان_و_استاندارد">'[1]Sheet15 (2)'!#REF!</definedName>
    <definedName name="خدمات_آزمایشگاهی_و_طراحی_مهندسی">'[1]Sheet15 (2)'!#REF!</definedName>
    <definedName name="خدمات_تجاری‌سازی">'[1]Sheet15 (2)'!#REF!</definedName>
    <definedName name="خدمات_سیاست‌گذاری">'[1]Sheet15 (2)'!#REF!</definedName>
    <definedName name="خدمات_شتاب‌دهی_کسب_و_کار">'[1]Sheet15 (2)'!#REF!</definedName>
    <definedName name="داروها__فرآورده‌ها_و_خدمات_زیستی_و_تشخیصی">'[1]Sheet15 (2)'!#REF!</definedName>
    <definedName name="داروهای_گیاهی">'[1]Sheet15 (2)'!#REF!</definedName>
    <definedName name="زیرساخت">'[1]Sheet15 (2)'!#REF!</definedName>
    <definedName name="زیست‌فناوری_مولکولی">'[1]Sheet15 (2)'!#REF!</definedName>
    <definedName name="سامانه‌ها__تجهیزات_و_عملگرهای_پیشرفته_هیدرولیکی_و_پنوماتیکی">'[1]Sheet15 (2)'!#REF!</definedName>
    <definedName name="سامانه‌های_کنترل_و_اتوماسیون_صنعتی">'[1]Sheet15 (2)'!#REF!</definedName>
    <definedName name="سخت‌افزارهای_الکترونیکی_و_رایانه‌ای">'[1]Sheet15 (2)'!#REF!</definedName>
    <definedName name="شبیه‌سازهای_پیشرفته">'[1]Sheet15 (2)'!#REF!</definedName>
    <definedName name="صنعتی_و_محیط‌زیست">'[1]Sheet15 (2)'!#REF!</definedName>
    <definedName name="فرمولاسیون‌های_پیشرفته_دارویی__مکمل‌ها_و_آرایشی_بهداشتی">'[1]Sheet15 (2)'!#REF!</definedName>
    <definedName name="فناوری_زیستی">'[1]Sheet15 (2)'!#REF!</definedName>
    <definedName name="فناوری_نانو">'[1]Sheet15 (2)'!#REF!</definedName>
    <definedName name="کشاورزی__دامی_و_گیاهی">'[1]Sheet15 (2)'!#REF!</definedName>
    <definedName name="لیزر_و_فوتونیک">'[1]Sheet15 (2)'!#REF!</definedName>
    <definedName name="ماشین‌آلات_و_تجهیزات_پیشرفته_صنعت_نفت_و_گاز">'[1]Sheet15 (2)'!#REF!</definedName>
    <definedName name="ماشین‌های_الکتریکی">'[1]Sheet15 (2)'!#REF!</definedName>
    <definedName name="ماشین‌های_دوار_و_تجهیزات_وابسته">'[1]Sheet15 (2)'!#REF!</definedName>
    <definedName name="محصولات_مبتنی_بر_فناوری‌های_شیمیایی">'[1]Sheet15 (2)'!#REF!</definedName>
    <definedName name="مدار‌های_الکترونیکی">'[1]Sheet15 (2)'!#REF!</definedName>
    <definedName name="مواد_اولیه_و_فرمولاسیون_غذایی">'[1]Sheet15 (2)'!#REF!</definedName>
    <definedName name="مواد_پیشرفته__پلیمرها_و_کامپوزیت‌ها">'[1]Sheet15 (2)'!#REF!</definedName>
    <definedName name="مواد_پیشرفته__سرامیک‌ها_و_فلزات">'[1]Sheet15 (2)'!#REF!</definedName>
    <definedName name="میکروالکترونیک">'[1]Sheet15 (2)'!#REF!</definedName>
    <definedName name="نیروگاه‌های_تجدیدناپذیر">'[1]Sheet15 (2)'!#REF!</definedName>
    <definedName name="هواگردها__تجهیزات_و_سازه‌های_هوافضا">'[1]Sheet15 (2)'!#REF!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2" l="1"/>
  <c r="D7" i="2"/>
  <c r="C7" i="2"/>
  <c r="F6" i="2"/>
  <c r="F7" i="2" s="1"/>
  <c r="F5" i="2"/>
  <c r="F4" i="2"/>
  <c r="F3" i="2"/>
  <c r="H63" i="7" l="1"/>
  <c r="H62" i="7"/>
  <c r="H61" i="7"/>
  <c r="H60" i="7"/>
  <c r="H59" i="7"/>
  <c r="H58" i="7"/>
  <c r="H57" i="7"/>
  <c r="H56" i="7"/>
  <c r="H52" i="7"/>
  <c r="H51" i="7"/>
  <c r="H48" i="7"/>
  <c r="H47" i="7"/>
  <c r="H42" i="7"/>
  <c r="H41" i="7"/>
  <c r="H40" i="7"/>
  <c r="H39" i="7"/>
  <c r="H38" i="7"/>
  <c r="H37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E15" i="7"/>
  <c r="H15" i="7" s="1"/>
  <c r="H14" i="7"/>
  <c r="H13" i="7"/>
  <c r="H12" i="7"/>
  <c r="H10" i="7"/>
  <c r="H8" i="7"/>
  <c r="H7" i="7"/>
  <c r="H6" i="7"/>
  <c r="H5" i="7"/>
  <c r="H4" i="7"/>
  <c r="H3" i="7"/>
  <c r="C17" i="4" l="1"/>
  <c r="B17" i="4"/>
  <c r="D16" i="4"/>
  <c r="D15" i="4"/>
  <c r="D14" i="4"/>
  <c r="D13" i="4"/>
  <c r="D12" i="4"/>
  <c r="D11" i="4"/>
  <c r="D10" i="4"/>
  <c r="D9" i="4"/>
  <c r="D17" i="4" s="1"/>
  <c r="C5" i="4"/>
  <c r="B5" i="4"/>
  <c r="D4" i="4"/>
  <c r="D3" i="4"/>
  <c r="D5" i="4" s="1"/>
  <c r="C18" i="2" l="1"/>
  <c r="J18" i="2"/>
  <c r="H15" i="2"/>
  <c r="H19" i="2" s="1"/>
  <c r="E15" i="2"/>
  <c r="E19" i="2" s="1"/>
  <c r="F15" i="2" l="1"/>
  <c r="F19" i="2" s="1"/>
  <c r="D15" i="2"/>
  <c r="I15" i="2"/>
  <c r="I19" i="2" s="1"/>
  <c r="D18" i="2"/>
  <c r="G15" i="2"/>
  <c r="G19" i="2" s="1"/>
  <c r="D19" i="2" l="1"/>
  <c r="C15" i="2"/>
  <c r="C19" i="2" l="1"/>
  <c r="J15" i="2"/>
  <c r="J19" i="2" s="1"/>
</calcChain>
</file>

<file path=xl/sharedStrings.xml><?xml version="1.0" encoding="utf-8"?>
<sst xmlns="http://schemas.openxmlformats.org/spreadsheetml/2006/main" count="94" uniqueCount="78">
  <si>
    <t>نوع استخدام</t>
  </si>
  <si>
    <t>آخرین مدرک تحصیلی</t>
  </si>
  <si>
    <t>کارشناسی ارشد</t>
  </si>
  <si>
    <t>کارشناسی</t>
  </si>
  <si>
    <t>کاردانی</t>
  </si>
  <si>
    <t>دیپلم</t>
  </si>
  <si>
    <t>زیردیپلم</t>
  </si>
  <si>
    <t>جمع کل</t>
  </si>
  <si>
    <t>عضو رسمی</t>
  </si>
  <si>
    <t>جمع</t>
  </si>
  <si>
    <t>عضو پیمانی</t>
  </si>
  <si>
    <t>عضو قراردادی</t>
  </si>
  <si>
    <t>هیأت علمی پیمانی</t>
  </si>
  <si>
    <t>پژوهشکده</t>
  </si>
  <si>
    <t>استاد</t>
  </si>
  <si>
    <t>دانشیار</t>
  </si>
  <si>
    <t>استادیار</t>
  </si>
  <si>
    <t>انرژی</t>
  </si>
  <si>
    <t>سرامیک</t>
  </si>
  <si>
    <t>فناوری نانو و مواد پیشرفته</t>
  </si>
  <si>
    <t>نیمه‌هادی‌ها</t>
  </si>
  <si>
    <t>نوع کارکنان</t>
  </si>
  <si>
    <t>دکتری تخصصی</t>
  </si>
  <si>
    <t>دکتر حرفه ای</t>
  </si>
  <si>
    <t>کارکنان</t>
  </si>
  <si>
    <t>هیأت علمی</t>
  </si>
  <si>
    <t>هیأت علمی  رسمی</t>
  </si>
  <si>
    <t>مرد</t>
  </si>
  <si>
    <t>زن</t>
  </si>
  <si>
    <r>
      <t xml:space="preserve">تعداد کل کارکنان پژوهشگاه </t>
    </r>
    <r>
      <rPr>
        <b/>
        <sz val="12"/>
        <color rgb="FFFF0000"/>
        <rFont val="B Nazanin"/>
        <charset val="178"/>
      </rPr>
      <t xml:space="preserve"> (به‌روزرسانی 1404.12.29)</t>
    </r>
  </si>
  <si>
    <t>تعداد دانشجویان شاغل به تحصیل پژوهشگاه مواد و انرژی - به روزرسانی 1404.12.29</t>
  </si>
  <si>
    <t>مقطع/جنسیت</t>
  </si>
  <si>
    <t>دکتری تخصصی(Ph.D)</t>
  </si>
  <si>
    <t>رشته</t>
  </si>
  <si>
    <t>فیزیک -ماده چگال</t>
  </si>
  <si>
    <t>مهندسی انرژی های تجدیدپذیر</t>
  </si>
  <si>
    <t>مهندسی پزشکی</t>
  </si>
  <si>
    <t>مهندسی متالورژی ومواد</t>
  </si>
  <si>
    <t>مهندسی مواد-شناسایی و انتخاب مواد مهندسی</t>
  </si>
  <si>
    <t>مهندسی مواد - سرامیک</t>
  </si>
  <si>
    <t>مهندسی مواد-الکتروسرامیک</t>
  </si>
  <si>
    <t>نانو فناوری- نانو مواد</t>
  </si>
  <si>
    <t>پژوهشگاه علاوه بر تعداد بالا، دانشجوی کارشناسی ارشد مشترک با دانشگاه علم و صنعت نیز دارد.</t>
  </si>
  <si>
    <t>پژوهشکده انرژی</t>
  </si>
  <si>
    <t>پژوهشکده سرامیک</t>
  </si>
  <si>
    <t>پژوهشکده نیمه هادی ها</t>
  </si>
  <si>
    <t>پژوهشکده فناوری نانو و مواد پیشرفته</t>
  </si>
  <si>
    <t>پژوهشکده فناوری های پیشرفته ساخت</t>
  </si>
  <si>
    <t>انرژی خورشیدی</t>
  </si>
  <si>
    <t>الکترو سرامیک</t>
  </si>
  <si>
    <t>رشد بلور</t>
  </si>
  <si>
    <t>مواد نانو</t>
  </si>
  <si>
    <t>فرآیندهای ساخت فلزی</t>
  </si>
  <si>
    <t>تبدیل و ذخیره انرژی</t>
  </si>
  <si>
    <t>سرامیک های مهندسی</t>
  </si>
  <si>
    <t>ساخت قطعات</t>
  </si>
  <si>
    <t>مواد زیستی</t>
  </si>
  <si>
    <t>روش های نوین استخراج و خالص سازی فلزات</t>
  </si>
  <si>
    <t>پدافند غیرعامل</t>
  </si>
  <si>
    <t>محیط زیست و انرژی</t>
  </si>
  <si>
    <t>کامپوزیت و نانو پودر</t>
  </si>
  <si>
    <t>شناخت مواد</t>
  </si>
  <si>
    <t>تکنولوژی سطح و لایه نازک</t>
  </si>
  <si>
    <t>توسعه فلزات پیشرفته</t>
  </si>
  <si>
    <t>هوش مصنوعی</t>
  </si>
  <si>
    <r>
      <t xml:space="preserve">تعداد پروژه‌های منعقد شده (مصوب در همان سال) پژوهشگاه مواد انرژی از سال 1395 تا </t>
    </r>
    <r>
      <rPr>
        <b/>
        <sz val="11"/>
        <color rgb="FFFF0000"/>
        <rFont val="B Nazanin"/>
        <charset val="178"/>
      </rPr>
      <t>1404/12/29</t>
    </r>
  </si>
  <si>
    <t>پژوهشکده/ نوع پروژه</t>
  </si>
  <si>
    <t>گروه مستقل باتری</t>
  </si>
  <si>
    <t>پژوهشگاه</t>
  </si>
  <si>
    <t>پروژه داخلی</t>
  </si>
  <si>
    <t>پروژه قراردادی</t>
  </si>
  <si>
    <t>پروژه دانشجویی مشترک با سایر دانشگاه ها (کارشناسی ارشد و دکتری تخصصی)</t>
  </si>
  <si>
    <t>پروژه (پایان‌نامه) کارشناسی ارشد</t>
  </si>
  <si>
    <t>پروژه (پایان‌نامه) دکتري تخصصي</t>
  </si>
  <si>
    <t>پسا دکتري</t>
  </si>
  <si>
    <t>پژوهشکده حکمرانی داده، سیاستگذاری و هوش مصنوعی</t>
  </si>
  <si>
    <t>حکمرانی داده</t>
  </si>
  <si>
    <r>
      <t xml:space="preserve">تعداد اعضای هیات علمی پژوهشگاه  </t>
    </r>
    <r>
      <rPr>
        <b/>
        <sz val="11"/>
        <color rgb="FFFF0000"/>
        <rFont val="B Nazanin"/>
        <charset val="178"/>
      </rPr>
      <t>(به‌روزرسانی 1405.05.31)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</si>
</sst>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_-* #,##0\-;_-* &quot;-&quot;_-;_-@_-"/>
    <numFmt numFmtId="43" formatCode="_-* #,##0.00_-;_-* #,##0.00\-;_-* &quot;-&quot;??_-;_-@_-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1"/>
      <color theme="1"/>
      <name val="B Nazanin"/>
      <charset val="178"/>
    </font>
    <font>
      <b/>
      <sz val="11"/>
      <color rgb="FFFF0000"/>
      <name val="B Nazanin"/>
      <charset val="178"/>
    </font>
    <font>
      <b/>
      <sz val="12"/>
      <color theme="1"/>
      <name val="B Nazanin"/>
      <charset val="178"/>
    </font>
    <font>
      <sz val="11"/>
      <name val="B Nazanin"/>
      <charset val="178"/>
    </font>
    <font>
      <sz val="11"/>
      <color theme="1"/>
      <name val="B Nazanin"/>
      <charset val="178"/>
    </font>
    <font>
      <b/>
      <sz val="11"/>
      <color rgb="FF00B050"/>
      <name val="B Nazanin"/>
      <charset val="178"/>
    </font>
    <font>
      <b/>
      <sz val="11"/>
      <name val="B Nazanin"/>
      <charset val="178"/>
    </font>
    <font>
      <sz val="11"/>
      <color rgb="FFFF0000"/>
      <name val="B Nazanin"/>
      <charset val="178"/>
    </font>
    <font>
      <sz val="10"/>
      <name val="B Nazanin"/>
      <charset val="178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name val="B Nazanin"/>
      <charset val="178"/>
    </font>
    <font>
      <sz val="12"/>
      <name val="B Nazanin"/>
      <charset val="178"/>
    </font>
    <font>
      <u/>
      <sz val="11"/>
      <color theme="10"/>
      <name val="Calibri"/>
      <family val="2"/>
      <charset val="178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color rgb="FFFF0000"/>
      <name val="B Nazanin"/>
      <charset val="178"/>
    </font>
    <font>
      <sz val="12"/>
      <color theme="1"/>
      <name val="B Nazanin"/>
      <charset val="178"/>
    </font>
    <font>
      <sz val="10"/>
      <color indexed="8"/>
      <name val="Arial"/>
      <family val="2"/>
    </font>
    <font>
      <sz val="12"/>
      <color indexed="8"/>
      <name val="B Nazanin"/>
      <charset val="178"/>
    </font>
    <font>
      <b/>
      <sz val="10"/>
      <color theme="1"/>
      <name val="Calibri"/>
      <family val="2"/>
      <scheme val="minor"/>
    </font>
    <font>
      <sz val="12"/>
      <color rgb="FF000000"/>
      <name val="B Nazanin"/>
      <charset val="178"/>
    </font>
    <font>
      <sz val="11"/>
      <color rgb="FF000000"/>
      <name val="B Nazanin"/>
      <charset val="178"/>
    </font>
    <font>
      <sz val="11"/>
      <color rgb="FFFF0000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B Nazanin"/>
      <charset val="178"/>
    </font>
    <font>
      <b/>
      <sz val="12"/>
      <color indexed="8"/>
      <name val="B Nazanin"/>
      <charset val="178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0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21">
    <xf numFmtId="0" fontId="0" fillId="0" borderId="0"/>
    <xf numFmtId="0" fontId="3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 applyFill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 applyFill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1" fillId="0" borderId="0"/>
  </cellStyleXfs>
  <cellXfs count="126">
    <xf numFmtId="0" fontId="0" fillId="0" borderId="0" xfId="0"/>
    <xf numFmtId="0" fontId="5" fillId="0" borderId="0" xfId="1" applyFont="1" applyAlignment="1">
      <alignment horizontal="right" vertical="center"/>
    </xf>
    <xf numFmtId="0" fontId="2" fillId="0" borderId="0" xfId="2"/>
    <xf numFmtId="0" fontId="7" fillId="0" borderId="0" xfId="1" applyFont="1" applyBorder="1" applyAlignment="1">
      <alignment horizontal="right" vertical="top"/>
    </xf>
    <xf numFmtId="0" fontId="8" fillId="0" borderId="0" xfId="1" applyFont="1" applyAlignment="1">
      <alignment horizontal="right" vertical="center" wrapText="1"/>
    </xf>
    <xf numFmtId="0" fontId="8" fillId="0" borderId="0" xfId="1" applyFont="1" applyAlignment="1">
      <alignment vertical="center" wrapText="1"/>
    </xf>
    <xf numFmtId="0" fontId="11" fillId="0" borderId="0" xfId="1" applyFont="1" applyAlignment="1">
      <alignment horizontal="left" vertical="top"/>
    </xf>
    <xf numFmtId="0" fontId="10" fillId="0" borderId="0" xfId="1" applyFont="1" applyBorder="1" applyAlignment="1">
      <alignment vertical="top"/>
    </xf>
    <xf numFmtId="0" fontId="7" fillId="0" borderId="0" xfId="1" applyFont="1" applyBorder="1" applyAlignment="1">
      <alignment horizontal="right" vertical="center" readingOrder="2"/>
    </xf>
    <xf numFmtId="0" fontId="7" fillId="0" borderId="0" xfId="1" applyFont="1" applyBorder="1" applyAlignment="1">
      <alignment horizontal="right" vertical="top" wrapText="1"/>
    </xf>
    <xf numFmtId="0" fontId="11" fillId="0" borderId="0" xfId="1" applyFont="1"/>
    <xf numFmtId="0" fontId="10" fillId="0" borderId="15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 readingOrder="2"/>
    </xf>
    <xf numFmtId="0" fontId="7" fillId="0" borderId="17" xfId="1" applyFont="1" applyBorder="1" applyAlignment="1">
      <alignment horizontal="center" vertical="center" readingOrder="2"/>
    </xf>
    <xf numFmtId="0" fontId="7" fillId="0" borderId="18" xfId="1" applyFont="1" applyBorder="1" applyAlignment="1">
      <alignment horizontal="center" vertical="center"/>
    </xf>
    <xf numFmtId="0" fontId="7" fillId="0" borderId="19" xfId="1" applyFont="1" applyBorder="1" applyAlignment="1"/>
    <xf numFmtId="0" fontId="7" fillId="0" borderId="0" xfId="1" applyFont="1"/>
    <xf numFmtId="0" fontId="7" fillId="0" borderId="20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 readingOrder="2"/>
    </xf>
    <xf numFmtId="0" fontId="7" fillId="0" borderId="11" xfId="1" applyFont="1" applyBorder="1" applyAlignment="1">
      <alignment horizontal="center" vertical="center" readingOrder="2"/>
    </xf>
    <xf numFmtId="0" fontId="7" fillId="0" borderId="9" xfId="1" applyFont="1" applyBorder="1" applyAlignment="1">
      <alignment horizontal="center" vertical="center" readingOrder="2"/>
    </xf>
    <xf numFmtId="0" fontId="7" fillId="0" borderId="0" xfId="1" applyFont="1" applyBorder="1" applyAlignment="1">
      <alignment vertical="center"/>
    </xf>
    <xf numFmtId="0" fontId="7" fillId="0" borderId="0" xfId="1" applyFont="1" applyAlignment="1">
      <alignment horizontal="right" vertical="center"/>
    </xf>
    <xf numFmtId="0" fontId="7" fillId="0" borderId="21" xfId="1" applyFont="1" applyBorder="1" applyAlignment="1">
      <alignment horizontal="center" vertical="center" readingOrder="2"/>
    </xf>
    <xf numFmtId="0" fontId="7" fillId="0" borderId="13" xfId="1" applyFont="1" applyBorder="1" applyAlignment="1">
      <alignment horizontal="center" vertical="center" readingOrder="2"/>
    </xf>
    <xf numFmtId="0" fontId="7" fillId="0" borderId="14" xfId="1" applyFont="1" applyBorder="1" applyAlignment="1">
      <alignment horizontal="center" vertical="center" readingOrder="2"/>
    </xf>
    <xf numFmtId="0" fontId="7" fillId="0" borderId="12" xfId="1" applyFont="1" applyBorder="1" applyAlignment="1">
      <alignment horizontal="center" vertical="center" readingOrder="2"/>
    </xf>
    <xf numFmtId="0" fontId="7" fillId="0" borderId="0" xfId="1" applyFont="1" applyAlignment="1">
      <alignment horizontal="right" vertical="center" readingOrder="2"/>
    </xf>
    <xf numFmtId="0" fontId="12" fillId="0" borderId="21" xfId="1" applyFont="1" applyBorder="1" applyAlignment="1">
      <alignment horizontal="right" vertical="center" readingOrder="2"/>
    </xf>
    <xf numFmtId="0" fontId="12" fillId="0" borderId="21" xfId="1" applyFont="1" applyBorder="1" applyAlignment="1">
      <alignment horizontal="center" vertical="center" readingOrder="2"/>
    </xf>
    <xf numFmtId="0" fontId="7" fillId="0" borderId="19" xfId="1" applyFont="1" applyBorder="1" applyAlignment="1">
      <alignment vertical="center"/>
    </xf>
    <xf numFmtId="0" fontId="7" fillId="0" borderId="15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 readingOrder="2"/>
    </xf>
    <xf numFmtId="0" fontId="13" fillId="0" borderId="0" xfId="3" applyFont="1" applyAlignment="1">
      <alignment vertical="top" readingOrder="2"/>
    </xf>
    <xf numFmtId="0" fontId="14" fillId="0" borderId="0" xfId="3" applyFont="1" applyAlignment="1">
      <alignment vertical="top"/>
    </xf>
    <xf numFmtId="0" fontId="13" fillId="0" borderId="0" xfId="3" applyFont="1" applyAlignment="1">
      <alignment horizontal="left" vertical="top"/>
    </xf>
    <xf numFmtId="0" fontId="12" fillId="0" borderId="7" xfId="1" applyFont="1" applyBorder="1" applyAlignment="1">
      <alignment horizontal="center" vertical="center" wrapText="1" readingOrder="2"/>
    </xf>
    <xf numFmtId="0" fontId="16" fillId="0" borderId="8" xfId="1" applyFont="1" applyBorder="1" applyAlignment="1">
      <alignment horizontal="center" vertical="center" wrapText="1" readingOrder="2"/>
    </xf>
    <xf numFmtId="0" fontId="12" fillId="0" borderId="8" xfId="1" applyFont="1" applyBorder="1" applyAlignment="1">
      <alignment horizontal="center" vertical="center" wrapText="1" readingOrder="2"/>
    </xf>
    <xf numFmtId="0" fontId="16" fillId="0" borderId="6" xfId="1" applyFont="1" applyBorder="1" applyAlignment="1">
      <alignment horizontal="center" vertical="center" wrapText="1" readingOrder="2"/>
    </xf>
    <xf numFmtId="0" fontId="16" fillId="0" borderId="3" xfId="1" applyFont="1" applyBorder="1" applyAlignment="1">
      <alignment horizontal="center" vertical="center" readingOrder="2"/>
    </xf>
    <xf numFmtId="0" fontId="16" fillId="0" borderId="2" xfId="1" applyFont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0" fontId="16" fillId="0" borderId="12" xfId="1" applyFont="1" applyFill="1" applyBorder="1" applyAlignment="1">
      <alignment horizontal="center" vertical="center"/>
    </xf>
    <xf numFmtId="0" fontId="16" fillId="0" borderId="12" xfId="1" applyFont="1" applyBorder="1" applyAlignment="1">
      <alignment horizontal="center" vertical="center" readingOrder="2"/>
    </xf>
    <xf numFmtId="0" fontId="16" fillId="0" borderId="25" xfId="1" applyFont="1" applyBorder="1" applyAlignment="1">
      <alignment horizontal="center" vertical="center"/>
    </xf>
    <xf numFmtId="0" fontId="16" fillId="0" borderId="13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 readingOrder="2"/>
    </xf>
    <xf numFmtId="0" fontId="15" fillId="0" borderId="5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6" fillId="0" borderId="24" xfId="1" applyFont="1" applyBorder="1" applyAlignment="1">
      <alignment horizontal="center" vertical="center"/>
    </xf>
    <xf numFmtId="0" fontId="16" fillId="0" borderId="26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0" fontId="15" fillId="0" borderId="17" xfId="1" applyFont="1" applyBorder="1" applyAlignment="1">
      <alignment horizontal="center" vertical="center"/>
    </xf>
    <xf numFmtId="0" fontId="15" fillId="0" borderId="18" xfId="1" applyFont="1" applyBorder="1" applyAlignment="1">
      <alignment horizontal="center" vertical="center"/>
    </xf>
    <xf numFmtId="0" fontId="11" fillId="0" borderId="0" xfId="1" applyFont="1" applyAlignment="1">
      <alignment horizontal="right"/>
    </xf>
    <xf numFmtId="0" fontId="11" fillId="0" borderId="0" xfId="1" applyFont="1" applyAlignment="1">
      <alignment horizontal="center" vertical="center"/>
    </xf>
    <xf numFmtId="0" fontId="8" fillId="0" borderId="0" xfId="0" applyFont="1"/>
    <xf numFmtId="0" fontId="6" fillId="2" borderId="28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NumberFormat="1" applyFont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9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29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23" fillId="0" borderId="14" xfId="219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24" fillId="0" borderId="0" xfId="0" applyFont="1"/>
    <xf numFmtId="0" fontId="25" fillId="4" borderId="16" xfId="0" applyFont="1" applyFill="1" applyBorder="1" applyAlignment="1">
      <alignment horizontal="center" vertical="center" wrapText="1" readingOrder="2"/>
    </xf>
    <xf numFmtId="0" fontId="25" fillId="4" borderId="17" xfId="0" applyFont="1" applyFill="1" applyBorder="1" applyAlignment="1">
      <alignment horizontal="center" vertical="center" wrapText="1" readingOrder="2"/>
    </xf>
    <xf numFmtId="0" fontId="26" fillId="4" borderId="17" xfId="0" applyFont="1" applyFill="1" applyBorder="1" applyAlignment="1">
      <alignment horizontal="center" vertical="center" wrapText="1" readingOrder="2"/>
    </xf>
    <xf numFmtId="0" fontId="25" fillId="4" borderId="18" xfId="0" applyFont="1" applyFill="1" applyBorder="1" applyAlignment="1">
      <alignment horizontal="center" vertical="center" wrapText="1" readingOrder="2"/>
    </xf>
    <xf numFmtId="0" fontId="25" fillId="4" borderId="3" xfId="0" applyFont="1" applyFill="1" applyBorder="1" applyAlignment="1">
      <alignment horizontal="center" vertical="center" wrapText="1" readingOrder="2"/>
    </xf>
    <xf numFmtId="0" fontId="25" fillId="4" borderId="2" xfId="0" applyFont="1" applyFill="1" applyBorder="1" applyAlignment="1">
      <alignment horizontal="center" vertical="center" wrapText="1" readingOrder="2"/>
    </xf>
    <xf numFmtId="0" fontId="25" fillId="4" borderId="31" xfId="0" applyFont="1" applyFill="1" applyBorder="1" applyAlignment="1">
      <alignment horizontal="center" vertical="center" wrapText="1" readingOrder="2"/>
    </xf>
    <xf numFmtId="3" fontId="0" fillId="0" borderId="0" xfId="0" applyNumberFormat="1" applyAlignment="1">
      <alignment horizontal="center" vertical="center"/>
    </xf>
    <xf numFmtId="0" fontId="25" fillId="4" borderId="12" xfId="0" applyFont="1" applyFill="1" applyBorder="1" applyAlignment="1">
      <alignment horizontal="center" vertical="center" wrapText="1" readingOrder="2"/>
    </xf>
    <xf numFmtId="0" fontId="25" fillId="4" borderId="10" xfId="0" applyFont="1" applyFill="1" applyBorder="1" applyAlignment="1">
      <alignment horizontal="center" vertical="center" wrapText="1" readingOrder="2"/>
    </xf>
    <xf numFmtId="0" fontId="25" fillId="4" borderId="14" xfId="0" applyFont="1" applyFill="1" applyBorder="1" applyAlignment="1">
      <alignment horizontal="center" vertical="center" wrapText="1" readingOrder="2"/>
    </xf>
    <xf numFmtId="0" fontId="25" fillId="4" borderId="33" xfId="0" applyFont="1" applyFill="1" applyBorder="1" applyAlignment="1">
      <alignment horizontal="center" vertical="center" wrapText="1" readingOrder="2"/>
    </xf>
    <xf numFmtId="0" fontId="25" fillId="4" borderId="34" xfId="0" applyFont="1" applyFill="1" applyBorder="1" applyAlignment="1">
      <alignment horizontal="center" vertical="center" wrapText="1" readingOrder="2"/>
    </xf>
    <xf numFmtId="0" fontId="25" fillId="4" borderId="35" xfId="0" applyFont="1" applyFill="1" applyBorder="1" applyAlignment="1">
      <alignment horizontal="center" vertical="center" wrapText="1" readingOrder="2"/>
    </xf>
    <xf numFmtId="0" fontId="27" fillId="0" borderId="0" xfId="0" applyFont="1" applyAlignment="1">
      <alignment horizontal="center" vertical="center"/>
    </xf>
    <xf numFmtId="0" fontId="25" fillId="4" borderId="13" xfId="0" applyFont="1" applyFill="1" applyBorder="1" applyAlignment="1">
      <alignment horizontal="center" vertical="center" wrapText="1" readingOrder="2"/>
    </xf>
    <xf numFmtId="3" fontId="28" fillId="0" borderId="0" xfId="0" applyNumberFormat="1" applyFont="1" applyAlignment="1">
      <alignment horizontal="center" vertical="center"/>
    </xf>
    <xf numFmtId="0" fontId="25" fillId="4" borderId="36" xfId="0" applyFont="1" applyFill="1" applyBorder="1" applyAlignment="1">
      <alignment horizontal="center" vertical="center" wrapText="1" readingOrder="2"/>
    </xf>
    <xf numFmtId="0" fontId="25" fillId="4" borderId="37" xfId="0" applyFont="1" applyFill="1" applyBorder="1" applyAlignment="1">
      <alignment horizontal="center" vertical="center" wrapText="1" readingOrder="2"/>
    </xf>
    <xf numFmtId="0" fontId="25" fillId="4" borderId="38" xfId="0" applyFont="1" applyFill="1" applyBorder="1" applyAlignment="1">
      <alignment horizontal="center" vertical="center" wrapText="1" readingOrder="2"/>
    </xf>
    <xf numFmtId="3" fontId="28" fillId="0" borderId="0" xfId="0" applyNumberFormat="1" applyFont="1" applyAlignment="1">
      <alignment horizontal="right" vertical="center"/>
    </xf>
    <xf numFmtId="0" fontId="25" fillId="4" borderId="40" xfId="0" applyFont="1" applyFill="1" applyBorder="1" applyAlignment="1">
      <alignment horizontal="center" vertical="center" wrapText="1" readingOrder="2"/>
    </xf>
    <xf numFmtId="0" fontId="25" fillId="4" borderId="4" xfId="0" applyFont="1" applyFill="1" applyBorder="1" applyAlignment="1">
      <alignment horizontal="center" vertical="center" wrapText="1" readingOrder="2"/>
    </xf>
    <xf numFmtId="0" fontId="29" fillId="0" borderId="0" xfId="0" applyFont="1"/>
    <xf numFmtId="0" fontId="11" fillId="0" borderId="0" xfId="0" applyFont="1" applyAlignment="1">
      <alignment horizontal="center" vertical="center"/>
    </xf>
    <xf numFmtId="0" fontId="25" fillId="4" borderId="41" xfId="0" applyFont="1" applyFill="1" applyBorder="1" applyAlignment="1">
      <alignment horizontal="center" vertical="center" wrapText="1" readingOrder="2"/>
    </xf>
    <xf numFmtId="0" fontId="25" fillId="4" borderId="42" xfId="0" applyFont="1" applyFill="1" applyBorder="1" applyAlignment="1">
      <alignment horizontal="center" vertical="center" wrapText="1" readingOrder="2"/>
    </xf>
    <xf numFmtId="0" fontId="25" fillId="4" borderId="9" xfId="0" applyFont="1" applyFill="1" applyBorder="1" applyAlignment="1">
      <alignment horizontal="center" vertical="center" wrapText="1" readingOrder="2"/>
    </xf>
    <xf numFmtId="0" fontId="25" fillId="4" borderId="11" xfId="0" applyFont="1" applyFill="1" applyBorder="1" applyAlignment="1">
      <alignment horizontal="center" vertical="center" wrapText="1" readingOrder="2"/>
    </xf>
    <xf numFmtId="0" fontId="27" fillId="0" borderId="0" xfId="0" applyFont="1" applyBorder="1" applyAlignment="1">
      <alignment horizontal="center" vertical="center"/>
    </xf>
    <xf numFmtId="0" fontId="25" fillId="4" borderId="25" xfId="0" applyFont="1" applyFill="1" applyBorder="1" applyAlignment="1">
      <alignment horizontal="center" vertical="center" wrapText="1" readingOrder="2"/>
    </xf>
    <xf numFmtId="0" fontId="30" fillId="3" borderId="14" xfId="219" applyFont="1" applyFill="1" applyBorder="1" applyAlignment="1">
      <alignment horizontal="center" vertical="center" wrapText="1"/>
    </xf>
    <xf numFmtId="0" fontId="15" fillId="0" borderId="27" xfId="1" applyFont="1" applyBorder="1" applyAlignment="1">
      <alignment horizontal="center" vertical="center"/>
    </xf>
    <xf numFmtId="0" fontId="15" fillId="0" borderId="18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 wrapText="1" readingOrder="2"/>
    </xf>
    <xf numFmtId="0" fontId="15" fillId="0" borderId="5" xfId="1" applyFont="1" applyBorder="1" applyAlignment="1">
      <alignment horizontal="center" vertical="center" wrapText="1" readingOrder="2"/>
    </xf>
    <xf numFmtId="0" fontId="15" fillId="0" borderId="3" xfId="1" applyFont="1" applyBorder="1" applyAlignment="1">
      <alignment horizontal="center" vertical="center" wrapText="1" readingOrder="2"/>
    </xf>
    <xf numFmtId="0" fontId="15" fillId="0" borderId="6" xfId="1" applyFont="1" applyBorder="1" applyAlignment="1">
      <alignment horizontal="center" vertical="center" wrapText="1" readingOrder="2"/>
    </xf>
    <xf numFmtId="0" fontId="15" fillId="0" borderId="22" xfId="1" applyFont="1" applyBorder="1" applyAlignment="1">
      <alignment horizontal="center" vertical="center" wrapText="1" readingOrder="2"/>
    </xf>
    <xf numFmtId="0" fontId="15" fillId="0" borderId="23" xfId="1" applyFont="1" applyBorder="1" applyAlignment="1">
      <alignment horizontal="center" vertical="center" wrapText="1" readingOrder="2"/>
    </xf>
    <xf numFmtId="0" fontId="15" fillId="0" borderId="24" xfId="1" applyFont="1" applyBorder="1" applyAlignment="1">
      <alignment horizontal="center" vertical="center" wrapText="1" readingOrder="2"/>
    </xf>
    <xf numFmtId="0" fontId="16" fillId="0" borderId="2" xfId="1" applyFont="1" applyBorder="1" applyAlignment="1">
      <alignment horizontal="center" vertical="center" wrapText="1" readingOrder="2"/>
    </xf>
    <xf numFmtId="0" fontId="16" fillId="0" borderId="25" xfId="1" applyFont="1" applyBorder="1" applyAlignment="1">
      <alignment horizontal="center" vertical="center" wrapText="1" readingOrder="2"/>
    </xf>
    <xf numFmtId="0" fontId="16" fillId="0" borderId="5" xfId="1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wrapText="1"/>
    </xf>
    <xf numFmtId="0" fontId="25" fillId="4" borderId="30" xfId="0" applyFont="1" applyFill="1" applyBorder="1" applyAlignment="1">
      <alignment horizontal="center" vertical="center" wrapText="1" readingOrder="2"/>
    </xf>
    <xf numFmtId="0" fontId="25" fillId="4" borderId="32" xfId="0" applyFont="1" applyFill="1" applyBorder="1" applyAlignment="1">
      <alignment horizontal="center" vertical="center" wrapText="1" readingOrder="2"/>
    </xf>
    <xf numFmtId="0" fontId="25" fillId="4" borderId="39" xfId="0" applyFont="1" applyFill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/>
    </xf>
    <xf numFmtId="0" fontId="21" fillId="4" borderId="27" xfId="0" applyFont="1" applyFill="1" applyBorder="1" applyAlignment="1">
      <alignment horizontal="center" vertical="center" wrapText="1" readingOrder="2"/>
    </xf>
    <xf numFmtId="0" fontId="21" fillId="4" borderId="18" xfId="0" applyFont="1" applyFill="1" applyBorder="1" applyAlignment="1">
      <alignment horizontal="center" vertical="center" wrapText="1" readingOrder="2"/>
    </xf>
    <xf numFmtId="0" fontId="10" fillId="0" borderId="1" xfId="1" applyFont="1" applyBorder="1" applyAlignment="1">
      <alignment horizontal="center" vertical="center"/>
    </xf>
  </cellXfs>
  <cellStyles count="221">
    <cellStyle name="Comma [0] 2" xfId="5"/>
    <cellStyle name="Comma 10" xfId="6"/>
    <cellStyle name="Comma 11" xfId="7"/>
    <cellStyle name="Comma 12" xfId="8"/>
    <cellStyle name="Comma 13" xfId="9"/>
    <cellStyle name="Comma 14" xfId="10"/>
    <cellStyle name="Comma 15" xfId="11"/>
    <cellStyle name="Comma 16" xfId="12"/>
    <cellStyle name="Comma 17" xfId="13"/>
    <cellStyle name="Comma 18" xfId="14"/>
    <cellStyle name="Comma 19" xfId="15"/>
    <cellStyle name="Comma 2" xfId="16"/>
    <cellStyle name="Comma 2 2" xfId="17"/>
    <cellStyle name="Comma 2 2 2" xfId="18"/>
    <cellStyle name="Comma 2 3" xfId="19"/>
    <cellStyle name="Comma 20" xfId="20"/>
    <cellStyle name="Comma 21" xfId="21"/>
    <cellStyle name="Comma 22" xfId="22"/>
    <cellStyle name="Comma 23" xfId="23"/>
    <cellStyle name="Comma 24" xfId="24"/>
    <cellStyle name="Comma 25" xfId="25"/>
    <cellStyle name="Comma 26" xfId="26"/>
    <cellStyle name="Comma 27" xfId="27"/>
    <cellStyle name="Comma 28" xfId="28"/>
    <cellStyle name="Comma 29" xfId="29"/>
    <cellStyle name="Comma 3" xfId="30"/>
    <cellStyle name="Comma 3 2" xfId="31"/>
    <cellStyle name="Comma 30" xfId="32"/>
    <cellStyle name="Comma 31" xfId="33"/>
    <cellStyle name="Comma 32" xfId="34"/>
    <cellStyle name="Comma 33" xfId="35"/>
    <cellStyle name="Comma 34" xfId="36"/>
    <cellStyle name="Comma 35" xfId="37"/>
    <cellStyle name="Comma 36" xfId="38"/>
    <cellStyle name="Comma 37" xfId="39"/>
    <cellStyle name="Comma 38" xfId="40"/>
    <cellStyle name="Comma 39" xfId="41"/>
    <cellStyle name="Comma 4" xfId="42"/>
    <cellStyle name="Comma 4 2" xfId="43"/>
    <cellStyle name="Comma 40" xfId="44"/>
    <cellStyle name="Comma 41" xfId="45"/>
    <cellStyle name="Comma 42" xfId="46"/>
    <cellStyle name="Comma 43" xfId="47"/>
    <cellStyle name="Comma 44" xfId="48"/>
    <cellStyle name="Comma 45" xfId="49"/>
    <cellStyle name="Comma 46" xfId="50"/>
    <cellStyle name="Comma 47" xfId="51"/>
    <cellStyle name="Comma 5" xfId="52"/>
    <cellStyle name="Comma 6" xfId="53"/>
    <cellStyle name="Comma 7" xfId="54"/>
    <cellStyle name="Comma 8" xfId="55"/>
    <cellStyle name="Comma 9" xfId="56"/>
    <cellStyle name="Hyperlink 2" xfId="57"/>
    <cellStyle name="Normal" xfId="0" builtinId="0"/>
    <cellStyle name="Normal 10" xfId="58"/>
    <cellStyle name="Normal 10 2" xfId="59"/>
    <cellStyle name="Normal 10 2 2" xfId="60"/>
    <cellStyle name="Normal 10 2 2 2" xfId="61"/>
    <cellStyle name="Normal 10 2 2 2 2" xfId="62"/>
    <cellStyle name="Normal 10 2 2 2 2 2" xfId="63"/>
    <cellStyle name="Normal 10 2 2 2 3" xfId="64"/>
    <cellStyle name="Normal 10 2 2 3" xfId="65"/>
    <cellStyle name="Normal 10 2 2 3 2" xfId="66"/>
    <cellStyle name="Normal 10 2 2 4" xfId="67"/>
    <cellStyle name="Normal 10 2 3" xfId="68"/>
    <cellStyle name="Normal 10 2 3 2" xfId="69"/>
    <cellStyle name="Normal 10 2 3 2 2" xfId="70"/>
    <cellStyle name="Normal 10 2 3 2 2 2" xfId="71"/>
    <cellStyle name="Normal 10 2 3 2 3" xfId="72"/>
    <cellStyle name="Normal 10 2 3 3" xfId="73"/>
    <cellStyle name="Normal 10 2 3 3 2" xfId="74"/>
    <cellStyle name="Normal 10 2 3 4" xfId="75"/>
    <cellStyle name="Normal 10 2 4" xfId="76"/>
    <cellStyle name="Normal 10 2 4 2" xfId="77"/>
    <cellStyle name="Normal 10 2 4 2 2" xfId="78"/>
    <cellStyle name="Normal 10 2 4 3" xfId="79"/>
    <cellStyle name="Normal 10 2 5" xfId="80"/>
    <cellStyle name="Normal 10 2 5 2" xfId="81"/>
    <cellStyle name="Normal 10 2 6" xfId="82"/>
    <cellStyle name="Normal 10 3" xfId="83"/>
    <cellStyle name="Normal 10 3 2" xfId="84"/>
    <cellStyle name="Normal 10 3 2 2" xfId="85"/>
    <cellStyle name="Normal 10 3 2 2 2" xfId="86"/>
    <cellStyle name="Normal 10 3 2 3" xfId="87"/>
    <cellStyle name="Normal 10 3 3" xfId="88"/>
    <cellStyle name="Normal 10 3 3 2" xfId="89"/>
    <cellStyle name="Normal 10 3 4" xfId="90"/>
    <cellStyle name="Normal 10 4" xfId="91"/>
    <cellStyle name="Normal 10 4 2" xfId="92"/>
    <cellStyle name="Normal 10 4 2 2" xfId="93"/>
    <cellStyle name="Normal 10 4 2 2 2" xfId="94"/>
    <cellStyle name="Normal 10 4 2 3" xfId="95"/>
    <cellStyle name="Normal 10 4 3" xfId="96"/>
    <cellStyle name="Normal 10 4 3 2" xfId="97"/>
    <cellStyle name="Normal 10 4 4" xfId="98"/>
    <cellStyle name="Normal 10 5" xfId="99"/>
    <cellStyle name="Normal 10 5 2" xfId="100"/>
    <cellStyle name="Normal 10 5 2 2" xfId="101"/>
    <cellStyle name="Normal 10 5 3" xfId="102"/>
    <cellStyle name="Normal 10 6" xfId="103"/>
    <cellStyle name="Normal 10 6 2" xfId="104"/>
    <cellStyle name="Normal 10 7" xfId="105"/>
    <cellStyle name="Normal 11" xfId="106"/>
    <cellStyle name="Normal 11 2" xfId="107"/>
    <cellStyle name="Normal 11 2 2" xfId="108"/>
    <cellStyle name="Normal 11 3" xfId="109"/>
    <cellStyle name="Normal 12" xfId="110"/>
    <cellStyle name="Normal 12 2" xfId="111"/>
    <cellStyle name="Normal 12 2 2" xfId="112"/>
    <cellStyle name="Normal 12 3" xfId="113"/>
    <cellStyle name="Normal 13" xfId="114"/>
    <cellStyle name="Normal 13 2" xfId="115"/>
    <cellStyle name="Normal 13 2 2" xfId="116"/>
    <cellStyle name="Normal 13 3" xfId="117"/>
    <cellStyle name="Normal 14" xfId="118"/>
    <cellStyle name="Normal 14 2" xfId="119"/>
    <cellStyle name="Normal 14 2 2" xfId="120"/>
    <cellStyle name="Normal 14 2 2 2" xfId="121"/>
    <cellStyle name="Normal 14 2 3" xfId="122"/>
    <cellStyle name="Normal 14 3" xfId="123"/>
    <cellStyle name="Normal 14 3 2" xfId="124"/>
    <cellStyle name="Normal 14 4" xfId="125"/>
    <cellStyle name="Normal 15" xfId="126"/>
    <cellStyle name="Normal 15 2" xfId="127"/>
    <cellStyle name="Normal 15 2 2" xfId="128"/>
    <cellStyle name="Normal 15 3" xfId="129"/>
    <cellStyle name="Normal 16" xfId="130"/>
    <cellStyle name="Normal 16 2" xfId="131"/>
    <cellStyle name="Normal 16 2 2" xfId="132"/>
    <cellStyle name="Normal 16 3" xfId="133"/>
    <cellStyle name="Normal 17" xfId="134"/>
    <cellStyle name="Normal 17 2" xfId="135"/>
    <cellStyle name="Normal 17 2 2" xfId="136"/>
    <cellStyle name="Normal 17 2 2 2" xfId="137"/>
    <cellStyle name="Normal 17 2 3" xfId="138"/>
    <cellStyle name="Normal 17 2 3 2" xfId="139"/>
    <cellStyle name="Normal 17 2 3 2 2" xfId="140"/>
    <cellStyle name="Normal 17 2 3 2 2 2" xfId="141"/>
    <cellStyle name="Normal 17 2 3 2 2 2 2" xfId="3"/>
    <cellStyle name="Normal 17 2 3 3" xfId="142"/>
    <cellStyle name="Normal 17 2 4" xfId="143"/>
    <cellStyle name="Normal 17 3" xfId="144"/>
    <cellStyle name="Normal 17 3 2" xfId="145"/>
    <cellStyle name="Normal 17 4" xfId="146"/>
    <cellStyle name="Normal 18" xfId="147"/>
    <cellStyle name="Normal 18 2" xfId="148"/>
    <cellStyle name="Normal 18 2 2" xfId="149"/>
    <cellStyle name="Normal 18 3" xfId="150"/>
    <cellStyle name="Normal 19" xfId="151"/>
    <cellStyle name="Normal 19 2" xfId="152"/>
    <cellStyle name="Normal 19 2 2" xfId="153"/>
    <cellStyle name="Normal 19 3" xfId="154"/>
    <cellStyle name="Normal 2" xfId="155"/>
    <cellStyle name="Normal 2 10" xfId="156"/>
    <cellStyle name="Normal 2 10 2" xfId="157"/>
    <cellStyle name="Normal 2 11" xfId="158"/>
    <cellStyle name="Normal 2 12" xfId="159"/>
    <cellStyle name="Normal 2 12 2" xfId="2"/>
    <cellStyle name="Normal 2 13" xfId="160"/>
    <cellStyle name="Normal 2 13 2" xfId="161"/>
    <cellStyle name="Normal 2 2" xfId="1"/>
    <cellStyle name="Normal 2 3" xfId="162"/>
    <cellStyle name="Normal 2 4" xfId="163"/>
    <cellStyle name="Normal 2 5" xfId="164"/>
    <cellStyle name="Normal 2 6" xfId="165"/>
    <cellStyle name="Normal 2 7" xfId="166"/>
    <cellStyle name="Normal 2 8" xfId="167"/>
    <cellStyle name="Normal 2 8 2" xfId="168"/>
    <cellStyle name="Normal 2 9" xfId="169"/>
    <cellStyle name="Normal 2 9 2" xfId="170"/>
    <cellStyle name="Normal 20" xfId="171"/>
    <cellStyle name="Normal 20 2" xfId="172"/>
    <cellStyle name="Normal 21" xfId="173"/>
    <cellStyle name="Normal 21 2" xfId="174"/>
    <cellStyle name="Normal 21 3" xfId="175"/>
    <cellStyle name="Normal 22" xfId="176"/>
    <cellStyle name="Normal 23" xfId="177"/>
    <cellStyle name="Normal 24" xfId="178"/>
    <cellStyle name="Normal 25" xfId="179"/>
    <cellStyle name="Normal 25 2" xfId="180"/>
    <cellStyle name="Normal 25 2 2" xfId="181"/>
    <cellStyle name="Normal 26" xfId="182"/>
    <cellStyle name="Normal 27" xfId="183"/>
    <cellStyle name="Normal 27 2" xfId="184"/>
    <cellStyle name="Normal 28" xfId="185"/>
    <cellStyle name="Normal 29" xfId="186"/>
    <cellStyle name="Normal 3" xfId="187"/>
    <cellStyle name="Normal 3 2" xfId="188"/>
    <cellStyle name="Normal 3 3" xfId="189"/>
    <cellStyle name="Normal 3 4" xfId="190"/>
    <cellStyle name="Normal 3 5" xfId="191"/>
    <cellStyle name="Normal 30" xfId="192"/>
    <cellStyle name="Normal 31" xfId="193"/>
    <cellStyle name="Normal 32" xfId="194"/>
    <cellStyle name="Normal 33" xfId="195"/>
    <cellStyle name="Normal 34" xfId="196"/>
    <cellStyle name="Normal 35" xfId="197"/>
    <cellStyle name="Normal 36" xfId="198"/>
    <cellStyle name="Normal 37" xfId="199"/>
    <cellStyle name="Normal 37 2" xfId="220"/>
    <cellStyle name="Normal 4" xfId="200"/>
    <cellStyle name="Normal 4 2" xfId="201"/>
    <cellStyle name="Normal 5" xfId="202"/>
    <cellStyle name="Normal 6" xfId="203"/>
    <cellStyle name="Normal 6 2" xfId="204"/>
    <cellStyle name="Normal 6 2 2" xfId="205"/>
    <cellStyle name="Normal 6 3" xfId="206"/>
    <cellStyle name="Normal 7" xfId="207"/>
    <cellStyle name="Normal 7 2" xfId="208"/>
    <cellStyle name="Normal 7 2 2" xfId="209"/>
    <cellStyle name="Normal 7 3" xfId="210"/>
    <cellStyle name="Normal 8" xfId="211"/>
    <cellStyle name="Normal 8 2" xfId="212"/>
    <cellStyle name="Normal 8 2 2" xfId="213"/>
    <cellStyle name="Normal 8 3" xfId="214"/>
    <cellStyle name="Normal 9" xfId="215"/>
    <cellStyle name="Normal 9 2" xfId="216"/>
    <cellStyle name="Normal 9 2 2" xfId="217"/>
    <cellStyle name="Normal 9 3" xfId="218"/>
    <cellStyle name="Normal_پژوهشکده ها و مراکز پژوهشی" xfId="219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آماردانشجویی14041229!$A$3:$A$4</c:f>
              <c:strCache>
                <c:ptCount val="2"/>
                <c:pt idx="0">
                  <c:v>دکتری تخصصی(Ph.D)</c:v>
                </c:pt>
                <c:pt idx="1">
                  <c:v>کارشناسی ارشد</c:v>
                </c:pt>
              </c:strCache>
            </c:strRef>
          </c:cat>
          <c:val>
            <c:numRef>
              <c:f>آماردانشجویی14041229!$D$3:$D$4</c:f>
              <c:numCache>
                <c:formatCode>General</c:formatCode>
                <c:ptCount val="2"/>
                <c:pt idx="0">
                  <c:v>98</c:v>
                </c:pt>
                <c:pt idx="1">
                  <c:v>116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آماردانشجویی14041229!$B$2:$C$2</c:f>
              <c:strCache>
                <c:ptCount val="2"/>
                <c:pt idx="0">
                  <c:v>زن</c:v>
                </c:pt>
                <c:pt idx="1">
                  <c:v>مرد</c:v>
                </c:pt>
              </c:strCache>
            </c:strRef>
          </c:cat>
          <c:val>
            <c:numRef>
              <c:f>آماردانشجویی14041229!$B$5:$C$5</c:f>
              <c:numCache>
                <c:formatCode>General</c:formatCode>
                <c:ptCount val="2"/>
                <c:pt idx="0">
                  <c:v>99</c:v>
                </c:pt>
                <c:pt idx="1">
                  <c:v>115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آماردانشجویی14041229!$B$8</c:f>
              <c:strCache>
                <c:ptCount val="1"/>
                <c:pt idx="0">
                  <c:v>دکتری تخصصی(Ph.D)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آماردانشجویی14041229!$A$9:$A$16</c:f>
              <c:strCache>
                <c:ptCount val="8"/>
                <c:pt idx="0">
                  <c:v>فیزیک -ماده چگال</c:v>
                </c:pt>
                <c:pt idx="1">
                  <c:v>مهندسی انرژی های تجدیدپذیر</c:v>
                </c:pt>
                <c:pt idx="2">
                  <c:v>مهندسی پزشکی</c:v>
                </c:pt>
                <c:pt idx="3">
                  <c:v>مهندسی متالورژی ومواد</c:v>
                </c:pt>
                <c:pt idx="4">
                  <c:v>مهندسی مواد-شناسایی و انتخاب مواد مهندسی</c:v>
                </c:pt>
                <c:pt idx="5">
                  <c:v>مهندسی مواد - سرامیک</c:v>
                </c:pt>
                <c:pt idx="6">
                  <c:v>مهندسی مواد-الکتروسرامیک</c:v>
                </c:pt>
                <c:pt idx="7">
                  <c:v>نانو فناوری- نانو مواد</c:v>
                </c:pt>
              </c:strCache>
            </c:strRef>
          </c:cat>
          <c:val>
            <c:numRef>
              <c:f>آماردانشجویی14041229!$B$9:$B$16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36</c:v>
                </c:pt>
                <c:pt idx="3">
                  <c:v>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آماردانشجویی14041229!$C$8</c:f>
              <c:strCache>
                <c:ptCount val="1"/>
                <c:pt idx="0">
                  <c:v>کارشناسی ارشد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آماردانشجویی14041229!$A$9:$A$16</c:f>
              <c:strCache>
                <c:ptCount val="8"/>
                <c:pt idx="0">
                  <c:v>فیزیک -ماده چگال</c:v>
                </c:pt>
                <c:pt idx="1">
                  <c:v>مهندسی انرژی های تجدیدپذیر</c:v>
                </c:pt>
                <c:pt idx="2">
                  <c:v>مهندسی پزشکی</c:v>
                </c:pt>
                <c:pt idx="3">
                  <c:v>مهندسی متالورژی ومواد</c:v>
                </c:pt>
                <c:pt idx="4">
                  <c:v>مهندسی مواد-شناسایی و انتخاب مواد مهندسی</c:v>
                </c:pt>
                <c:pt idx="5">
                  <c:v>مهندسی مواد - سرامیک</c:v>
                </c:pt>
                <c:pt idx="6">
                  <c:v>مهندسی مواد-الکتروسرامیک</c:v>
                </c:pt>
                <c:pt idx="7">
                  <c:v>نانو فناوری- نانو مواد</c:v>
                </c:pt>
              </c:strCache>
            </c:strRef>
          </c:cat>
          <c:val>
            <c:numRef>
              <c:f>آماردانشجویی14041229!$C$9:$C$16</c:f>
              <c:numCache>
                <c:formatCode>General</c:formatCode>
                <c:ptCount val="8"/>
                <c:pt idx="0">
                  <c:v>13</c:v>
                </c:pt>
                <c:pt idx="1">
                  <c:v>25</c:v>
                </c:pt>
                <c:pt idx="2">
                  <c:v>18</c:v>
                </c:pt>
                <c:pt idx="3">
                  <c:v>0</c:v>
                </c:pt>
                <c:pt idx="4">
                  <c:v>13</c:v>
                </c:pt>
                <c:pt idx="5">
                  <c:v>30</c:v>
                </c:pt>
                <c:pt idx="6">
                  <c:v>3</c:v>
                </c:pt>
                <c:pt idx="7">
                  <c:v>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100672"/>
        <c:axId val="37831232"/>
        <c:axId val="0"/>
      </c:bar3DChart>
      <c:catAx>
        <c:axId val="59100672"/>
        <c:scaling>
          <c:orientation val="minMax"/>
        </c:scaling>
        <c:delete val="0"/>
        <c:axPos val="b"/>
        <c:majorTickMark val="out"/>
        <c:minorTickMark val="none"/>
        <c:tickLblPos val="nextTo"/>
        <c:crossAx val="37831232"/>
        <c:crosses val="autoZero"/>
        <c:auto val="1"/>
        <c:lblAlgn val="ctr"/>
        <c:lblOffset val="100"/>
        <c:noMultiLvlLbl val="0"/>
      </c:catAx>
      <c:valAx>
        <c:axId val="378312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91006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a-IR" sz="1200">
                <a:cs typeface="B Nazanin" panose="00000400000000000000" pitchFamily="2" charset="-78"/>
              </a:rPr>
              <a:t>تعداد دانشجویان شاغل به تحصیل پژوهشگاه مواد و انرژی سال 1403</a:t>
            </a:r>
            <a:endParaRPr lang="en-US" sz="1200">
              <a:cs typeface="B Nazanin" panose="00000400000000000000" pitchFamily="2" charset="-78"/>
            </a:endParaRP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[2]دانشجویی!$A$3</c:f>
              <c:strCache>
                <c:ptCount val="1"/>
                <c:pt idx="0">
                  <c:v>دکتری تخصصی(Ph.D)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[2]دانشجویی!$B$2:$C$2</c:f>
              <c:strCache>
                <c:ptCount val="2"/>
                <c:pt idx="0">
                  <c:v>زن</c:v>
                </c:pt>
                <c:pt idx="1">
                  <c:v>مرد</c:v>
                </c:pt>
              </c:strCache>
            </c:strRef>
          </c:cat>
          <c:val>
            <c:numRef>
              <c:f>[2]دانشجویی!$B$3:$C$3</c:f>
              <c:numCache>
                <c:formatCode>General</c:formatCode>
                <c:ptCount val="2"/>
                <c:pt idx="0">
                  <c:v>33</c:v>
                </c:pt>
                <c:pt idx="1">
                  <c:v>60</c:v>
                </c:pt>
              </c:numCache>
            </c:numRef>
          </c:val>
        </c:ser>
        <c:ser>
          <c:idx val="1"/>
          <c:order val="1"/>
          <c:tx>
            <c:strRef>
              <c:f>[2]دانشجویی!$A$4</c:f>
              <c:strCache>
                <c:ptCount val="1"/>
                <c:pt idx="0">
                  <c:v>کارشناسی ارشد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[2]دانشجویی!$B$2:$C$2</c:f>
              <c:strCache>
                <c:ptCount val="2"/>
                <c:pt idx="0">
                  <c:v>زن</c:v>
                </c:pt>
                <c:pt idx="1">
                  <c:v>مرد</c:v>
                </c:pt>
              </c:strCache>
            </c:strRef>
          </c:cat>
          <c:val>
            <c:numRef>
              <c:f>[2]دانشجویی!$B$4:$C$4</c:f>
              <c:numCache>
                <c:formatCode>General</c:formatCode>
                <c:ptCount val="2"/>
                <c:pt idx="0">
                  <c:v>50</c:v>
                </c:pt>
                <c:pt idx="1">
                  <c:v>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191296"/>
        <c:axId val="37833536"/>
        <c:axId val="0"/>
      </c:bar3DChart>
      <c:catAx>
        <c:axId val="59191296"/>
        <c:scaling>
          <c:orientation val="minMax"/>
        </c:scaling>
        <c:delete val="0"/>
        <c:axPos val="b"/>
        <c:majorTickMark val="none"/>
        <c:minorTickMark val="none"/>
        <c:tickLblPos val="nextTo"/>
        <c:crossAx val="37833536"/>
        <c:crosses val="autoZero"/>
        <c:auto val="1"/>
        <c:lblAlgn val="ctr"/>
        <c:lblOffset val="100"/>
        <c:noMultiLvlLbl val="0"/>
      </c:catAx>
      <c:valAx>
        <c:axId val="37833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59191296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1</xdr:row>
      <xdr:rowOff>4762</xdr:rowOff>
    </xdr:from>
    <xdr:to>
      <xdr:col>11</xdr:col>
      <xdr:colOff>38100</xdr:colOff>
      <xdr:row>9</xdr:row>
      <xdr:rowOff>200025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209550</xdr:colOff>
      <xdr:row>1</xdr:row>
      <xdr:rowOff>14286</xdr:rowOff>
    </xdr:from>
    <xdr:to>
      <xdr:col>17</xdr:col>
      <xdr:colOff>428625</xdr:colOff>
      <xdr:row>9</xdr:row>
      <xdr:rowOff>133349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314325</xdr:colOff>
      <xdr:row>10</xdr:row>
      <xdr:rowOff>157162</xdr:rowOff>
    </xdr:from>
    <xdr:to>
      <xdr:col>12</xdr:col>
      <xdr:colOff>85725</xdr:colOff>
      <xdr:row>19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228600</xdr:colOff>
      <xdr:row>10</xdr:row>
      <xdr:rowOff>9525</xdr:rowOff>
    </xdr:from>
    <xdr:to>
      <xdr:col>19</xdr:col>
      <xdr:colOff>485775</xdr:colOff>
      <xdr:row>19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.golmohammadi\Desktop\&#1711;&#1586;&#1575;&#1585;&#1588;%20&#1576;&#1607;%20&#1583;&#1705;&#1578;&#1585;%20&#1705;&#1588;&#1605;&#1740;&#1585;&#1740;98\New%20folder\&#1711;&#1586;&#1575;&#1585;&#1588;%20&#1583;&#1601;&#1578;&#1585;%20&#1576;&#1585;&#1606;&#1575;&#1605;&#1607;%20&#1585;&#1740;&#1586;&#1740;%20&#1575;&#1589;&#1604;&#1575;&#1581;%20&#1588;&#1583;&#1607;%20&#1606;&#1607;&#1575;&#1575;&#1575;&#1575;&#1575;&#1575;&#1740;&#174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NezaratArzyabi/AMAR%20MERC1391ta1404/AMAR%20MERC/1404/&#1608;&#1586;&#1575;&#1585;&#1578;%20&#1593;&#1604;&#1608;&#1605;%20%20&#1601;&#1606;&#1575;&#1608;&#1585;&#1740;%20&#1575;&#1591;&#1604;&#1575;&#1593;&#1575;&#1578;%20IT/8154%201403/&#1662;&#1575;&#1587;&#1582;%20&#1601;&#1585;&#1605;%20&#1607;&#1575;/1/1-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طلاعات شناسنامه‌اي"/>
      <sheetName val=" ارکان"/>
      <sheetName val="Sheet1"/>
      <sheetName val="فضا و امكانات"/>
      <sheetName val="آيين‌نامه‌ها - دستورالعمل‌ها"/>
      <sheetName val="خدمات"/>
      <sheetName val="ارزيابي"/>
      <sheetName val="اطلاعات عملكردي"/>
      <sheetName val="آمار واحدها "/>
      <sheetName val="هزينه ها"/>
      <sheetName val="درآمد"/>
      <sheetName val="منابع مالي"/>
      <sheetName val="Sheet15 (2)"/>
      <sheetName val="List"/>
      <sheetName val="گزارش دفتر برنامه ریزی اصلاح ش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>
        <row r="3">
          <cell r="B3" t="str">
            <v>فناوری زیستی</v>
          </cell>
          <cell r="C3" t="str">
            <v>Type01</v>
          </cell>
        </row>
        <row r="4">
          <cell r="B4" t="str">
            <v>فناوری نانو</v>
          </cell>
          <cell r="C4" t="str">
            <v>Type02</v>
          </cell>
        </row>
        <row r="5">
          <cell r="B5" t="str">
            <v>اپتیک و فوتونیک ( مواد، قطعات و سامانه ها)</v>
          </cell>
          <cell r="C5" t="str">
            <v>Type03</v>
          </cell>
        </row>
        <row r="6">
          <cell r="B6" t="str">
            <v>مواد پیشرفته (پلیمرها، سرامیکها، فلزات، کامپوزیتها)</v>
          </cell>
          <cell r="C6" t="str">
            <v>Type04</v>
          </cell>
        </row>
        <row r="7">
          <cell r="B7" t="str">
            <v>سخت افزارهای رایانه ای، برق قدرت، الکترونیک، کنترل و مخابرات</v>
          </cell>
          <cell r="C7" t="str">
            <v>Type05</v>
          </cell>
        </row>
        <row r="8">
          <cell r="B8" t="str">
            <v>فناوری اطلاعات و ارتباطات و نرم افزارهای رایانه ای</v>
          </cell>
          <cell r="C8" t="str">
            <v>Type06</v>
          </cell>
        </row>
        <row r="9">
          <cell r="B9" t="str">
            <v>تجهیزات پیشرفته ساخت، تولید و آزمایشگاهی</v>
          </cell>
          <cell r="C9" t="str">
            <v>Type07</v>
          </cell>
        </row>
        <row r="10">
          <cell r="B10" t="str">
            <v>داروهای پیشرفته</v>
          </cell>
          <cell r="C10" t="str">
            <v>Type08</v>
          </cell>
        </row>
        <row r="11">
          <cell r="B11" t="str">
            <v>وسایل، ملزومات و تجهیزات پزشکی</v>
          </cell>
          <cell r="C11" t="str">
            <v>Type09</v>
          </cell>
        </row>
        <row r="12">
          <cell r="B12" t="str">
            <v xml:space="preserve">هوافضا </v>
          </cell>
          <cell r="C12" t="str">
            <v>Type10</v>
          </cell>
        </row>
        <row r="13">
          <cell r="B13" t="str">
            <v>انرژی های نو</v>
          </cell>
          <cell r="C13" t="str">
            <v>Type11</v>
          </cell>
        </row>
        <row r="14">
          <cell r="B14" t="str">
            <v>تجهیزات و مواد پیشرفته نفت، گاز، پالایش و پتروشیمی</v>
          </cell>
          <cell r="C14" t="str">
            <v>Type12</v>
          </cell>
        </row>
        <row r="15">
          <cell r="B15" t="str">
            <v>محصولات پیشرفته سایر حوزه ها</v>
          </cell>
          <cell r="C15" t="str">
            <v>Type13</v>
          </cell>
        </row>
        <row r="16">
          <cell r="B16" t="str">
            <v>خدمات تجاری سازی</v>
          </cell>
          <cell r="C16" t="str">
            <v>Type14</v>
          </cell>
        </row>
        <row r="17">
          <cell r="B17" t="str">
            <v>علوم شناختی</v>
          </cell>
        </row>
        <row r="18">
          <cell r="B18" t="str">
            <v xml:space="preserve">سایر </v>
          </cell>
        </row>
      </sheetData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فعالیت های پژوهشی فناوری 1403"/>
      <sheetName val="منابع انسانی"/>
      <sheetName val="دانشجویی"/>
      <sheetName val="مرکز رشد"/>
    </sheetNames>
    <sheetDataSet>
      <sheetData sheetId="0"/>
      <sheetData sheetId="1"/>
      <sheetData sheetId="2"/>
      <sheetData sheetId="3">
        <row r="2">
          <cell r="B2" t="str">
            <v>زن</v>
          </cell>
          <cell r="C2" t="str">
            <v>مرد</v>
          </cell>
        </row>
        <row r="3">
          <cell r="A3" t="str">
            <v>دکتری تخصصی(Ph.D)</v>
          </cell>
          <cell r="B3">
            <v>33</v>
          </cell>
          <cell r="C3">
            <v>60</v>
          </cell>
        </row>
        <row r="4">
          <cell r="A4" t="str">
            <v>کارشناسی ارشد</v>
          </cell>
          <cell r="B4">
            <v>50</v>
          </cell>
          <cell r="C4">
            <v>49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4"/>
  <sheetViews>
    <sheetView rightToLeft="1" workbookViewId="0">
      <selection activeCell="F6" sqref="F6"/>
    </sheetView>
  </sheetViews>
  <sheetFormatPr defaultRowHeight="15"/>
  <cols>
    <col min="1" max="1" width="12.42578125" bestFit="1" customWidth="1"/>
    <col min="2" max="2" width="14.5703125" bestFit="1" customWidth="1"/>
    <col min="3" max="3" width="15" customWidth="1"/>
    <col min="4" max="4" width="19.28515625" customWidth="1"/>
    <col min="5" max="5" width="20.28515625" customWidth="1"/>
    <col min="6" max="6" width="33.5703125" customWidth="1"/>
  </cols>
  <sheetData>
    <row r="1" spans="1:6" ht="42">
      <c r="A1" s="104" t="s">
        <v>43</v>
      </c>
      <c r="B1" s="104" t="s">
        <v>44</v>
      </c>
      <c r="C1" s="104" t="s">
        <v>45</v>
      </c>
      <c r="D1" s="104" t="s">
        <v>46</v>
      </c>
      <c r="E1" s="104" t="s">
        <v>47</v>
      </c>
      <c r="F1" s="104" t="s">
        <v>75</v>
      </c>
    </row>
    <row r="2" spans="1:6" ht="18.75">
      <c r="A2" s="70" t="s">
        <v>48</v>
      </c>
      <c r="B2" s="70" t="s">
        <v>49</v>
      </c>
      <c r="C2" s="70" t="s">
        <v>50</v>
      </c>
      <c r="D2" s="70" t="s">
        <v>51</v>
      </c>
      <c r="E2" s="70" t="s">
        <v>52</v>
      </c>
      <c r="F2" s="70" t="s">
        <v>76</v>
      </c>
    </row>
    <row r="3" spans="1:6" ht="37.5">
      <c r="A3" s="70" t="s">
        <v>53</v>
      </c>
      <c r="B3" s="70" t="s">
        <v>54</v>
      </c>
      <c r="C3" s="70" t="s">
        <v>55</v>
      </c>
      <c r="D3" s="70" t="s">
        <v>56</v>
      </c>
      <c r="E3" s="70" t="s">
        <v>57</v>
      </c>
      <c r="F3" s="70" t="s">
        <v>58</v>
      </c>
    </row>
    <row r="4" spans="1:6" ht="37.5">
      <c r="A4" s="70" t="s">
        <v>59</v>
      </c>
      <c r="B4" s="70" t="s">
        <v>60</v>
      </c>
      <c r="C4" s="70" t="s">
        <v>61</v>
      </c>
      <c r="D4" s="70" t="s">
        <v>62</v>
      </c>
      <c r="E4" s="70" t="s">
        <v>63</v>
      </c>
      <c r="F4" s="70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20"/>
  <sheetViews>
    <sheetView rightToLeft="1" tabSelected="1" workbookViewId="0">
      <selection activeCell="A8" sqref="A8"/>
    </sheetView>
  </sheetViews>
  <sheetFormatPr defaultRowHeight="15"/>
  <cols>
    <col min="1" max="1" width="10.28515625" customWidth="1"/>
    <col min="2" max="2" width="16.7109375" customWidth="1"/>
    <col min="3" max="3" width="11.140625" customWidth="1"/>
    <col min="4" max="4" width="11.42578125" customWidth="1"/>
    <col min="5" max="5" width="11.28515625" customWidth="1"/>
  </cols>
  <sheetData>
    <row r="1" spans="1:14" ht="20.25" thickBot="1">
      <c r="A1" s="6"/>
      <c r="B1" s="125" t="s">
        <v>77</v>
      </c>
      <c r="C1" s="125"/>
      <c r="D1" s="125"/>
      <c r="E1" s="125"/>
      <c r="F1" s="125"/>
      <c r="G1" s="7"/>
      <c r="I1" s="8"/>
      <c r="J1" s="9"/>
      <c r="K1" s="9"/>
      <c r="L1" s="9"/>
      <c r="M1" s="9"/>
      <c r="N1" s="9"/>
    </row>
    <row r="2" spans="1:14" ht="20.25" thickBot="1">
      <c r="A2" s="10"/>
      <c r="B2" s="11" t="s">
        <v>13</v>
      </c>
      <c r="C2" s="12" t="s">
        <v>14</v>
      </c>
      <c r="D2" s="13" t="s">
        <v>15</v>
      </c>
      <c r="E2" s="13" t="s">
        <v>16</v>
      </c>
      <c r="F2" s="14" t="s">
        <v>9</v>
      </c>
      <c r="G2" s="15"/>
      <c r="H2" s="16"/>
      <c r="I2" s="8"/>
      <c r="J2" s="9"/>
      <c r="K2" s="9"/>
      <c r="L2" s="9"/>
      <c r="M2" s="9"/>
      <c r="N2" s="9"/>
    </row>
    <row r="3" spans="1:14" ht="18">
      <c r="A3" s="10"/>
      <c r="B3" s="17" t="s">
        <v>17</v>
      </c>
      <c r="C3" s="18">
        <v>0</v>
      </c>
      <c r="D3" s="19">
        <v>12</v>
      </c>
      <c r="E3" s="19">
        <v>3</v>
      </c>
      <c r="F3" s="20">
        <f>SUM(C3:E3)</f>
        <v>15</v>
      </c>
      <c r="G3" s="21"/>
      <c r="H3" s="22"/>
      <c r="I3" s="8"/>
      <c r="J3" s="9"/>
      <c r="K3" s="9"/>
      <c r="L3" s="9"/>
      <c r="M3" s="9"/>
      <c r="N3" s="9"/>
    </row>
    <row r="4" spans="1:14" ht="18">
      <c r="A4" s="10"/>
      <c r="B4" s="23" t="s">
        <v>18</v>
      </c>
      <c r="C4" s="24">
        <v>5</v>
      </c>
      <c r="D4" s="25">
        <v>13</v>
      </c>
      <c r="E4" s="25">
        <v>2</v>
      </c>
      <c r="F4" s="26">
        <f>SUM(C4:E4)</f>
        <v>20</v>
      </c>
      <c r="G4" s="27"/>
      <c r="H4" s="22"/>
      <c r="I4" s="8"/>
      <c r="J4" s="9"/>
      <c r="K4" s="9"/>
      <c r="L4" s="9"/>
      <c r="M4" s="9"/>
      <c r="N4" s="9"/>
    </row>
    <row r="5" spans="1:14" ht="18">
      <c r="A5" s="10"/>
      <c r="B5" s="28" t="s">
        <v>19</v>
      </c>
      <c r="C5" s="24">
        <v>5</v>
      </c>
      <c r="D5" s="25">
        <v>12</v>
      </c>
      <c r="E5" s="25">
        <v>3</v>
      </c>
      <c r="F5" s="26">
        <f>SUM(C5:E5)</f>
        <v>20</v>
      </c>
      <c r="G5" s="21"/>
      <c r="H5" s="2"/>
      <c r="I5" s="8"/>
      <c r="J5" s="9"/>
      <c r="K5" s="9"/>
      <c r="L5" s="9"/>
      <c r="M5" s="9"/>
      <c r="N5" s="9"/>
    </row>
    <row r="6" spans="1:14" ht="18.75" thickBot="1">
      <c r="A6" s="10"/>
      <c r="B6" s="29" t="s">
        <v>20</v>
      </c>
      <c r="C6" s="24">
        <v>1</v>
      </c>
      <c r="D6" s="25">
        <v>6</v>
      </c>
      <c r="E6" s="25">
        <v>6</v>
      </c>
      <c r="F6" s="26">
        <f t="shared" ref="F6" si="0">SUM(C6:E6)</f>
        <v>13</v>
      </c>
      <c r="G6" s="30"/>
      <c r="H6" s="2"/>
      <c r="I6" s="8"/>
      <c r="J6" s="9"/>
      <c r="K6" s="9"/>
      <c r="L6" s="9"/>
      <c r="M6" s="9"/>
      <c r="N6" s="9"/>
    </row>
    <row r="7" spans="1:14" ht="18.75" thickBot="1">
      <c r="A7" s="10"/>
      <c r="B7" s="31" t="s">
        <v>9</v>
      </c>
      <c r="C7" s="12">
        <f>SUM(C3:C6)</f>
        <v>11</v>
      </c>
      <c r="D7" s="13">
        <f>SUM(D3:D6)</f>
        <v>43</v>
      </c>
      <c r="E7" s="13">
        <f>SUM(E3:E6)</f>
        <v>14</v>
      </c>
      <c r="F7" s="32">
        <f>SUM(F3:F6)</f>
        <v>68</v>
      </c>
      <c r="G7" s="22"/>
      <c r="H7" s="2"/>
      <c r="I7" s="33"/>
      <c r="J7" s="33"/>
      <c r="K7" s="34"/>
    </row>
    <row r="8" spans="1:14" ht="18">
      <c r="A8" s="3"/>
      <c r="B8" s="4"/>
      <c r="C8" s="4"/>
      <c r="E8" s="5"/>
      <c r="F8" s="8"/>
      <c r="G8" s="8"/>
      <c r="H8" s="22"/>
      <c r="I8" s="2"/>
      <c r="J8" s="35"/>
      <c r="K8" s="34"/>
    </row>
    <row r="9" spans="1:14" ht="21.75" thickBot="1">
      <c r="A9" s="107" t="s">
        <v>29</v>
      </c>
      <c r="B9" s="107"/>
      <c r="C9" s="107"/>
      <c r="D9" s="107"/>
      <c r="E9" s="107"/>
      <c r="F9" s="107"/>
      <c r="G9" s="107"/>
      <c r="H9" s="107"/>
      <c r="I9" s="107"/>
      <c r="J9" s="107"/>
      <c r="K9" s="34"/>
    </row>
    <row r="10" spans="1:14" ht="21">
      <c r="A10" s="108" t="s">
        <v>21</v>
      </c>
      <c r="B10" s="110" t="s">
        <v>0</v>
      </c>
      <c r="C10" s="112" t="s">
        <v>1</v>
      </c>
      <c r="D10" s="113"/>
      <c r="E10" s="113"/>
      <c r="F10" s="113"/>
      <c r="G10" s="113"/>
      <c r="H10" s="113"/>
      <c r="I10" s="113"/>
      <c r="J10" s="114"/>
      <c r="K10" s="34"/>
    </row>
    <row r="11" spans="1:14" ht="19.5" thickBot="1">
      <c r="A11" s="109"/>
      <c r="B11" s="111"/>
      <c r="C11" s="36" t="s">
        <v>22</v>
      </c>
      <c r="D11" s="37" t="s">
        <v>23</v>
      </c>
      <c r="E11" s="38" t="s">
        <v>2</v>
      </c>
      <c r="F11" s="37" t="s">
        <v>3</v>
      </c>
      <c r="G11" s="37" t="s">
        <v>4</v>
      </c>
      <c r="H11" s="37" t="s">
        <v>5</v>
      </c>
      <c r="I11" s="37" t="s">
        <v>6</v>
      </c>
      <c r="J11" s="39" t="s">
        <v>9</v>
      </c>
      <c r="K11" s="34"/>
    </row>
    <row r="12" spans="1:14" ht="18.75">
      <c r="A12" s="115" t="s">
        <v>24</v>
      </c>
      <c r="B12" s="40" t="s">
        <v>8</v>
      </c>
      <c r="C12" s="41">
        <v>2</v>
      </c>
      <c r="D12" s="42">
        <v>0</v>
      </c>
      <c r="E12" s="42">
        <v>21</v>
      </c>
      <c r="F12" s="42">
        <v>14</v>
      </c>
      <c r="G12" s="42">
        <v>2</v>
      </c>
      <c r="H12" s="42">
        <v>3</v>
      </c>
      <c r="I12" s="42">
        <v>1</v>
      </c>
      <c r="J12" s="43">
        <v>43</v>
      </c>
      <c r="K12" s="34"/>
    </row>
    <row r="13" spans="1:14" ht="18.75">
      <c r="A13" s="116"/>
      <c r="B13" s="44" t="s">
        <v>10</v>
      </c>
      <c r="C13" s="45">
        <v>0</v>
      </c>
      <c r="D13" s="46">
        <v>0</v>
      </c>
      <c r="E13" s="46">
        <v>2</v>
      </c>
      <c r="F13" s="46">
        <v>0</v>
      </c>
      <c r="G13" s="46">
        <v>0</v>
      </c>
      <c r="H13" s="46">
        <v>0</v>
      </c>
      <c r="I13" s="46">
        <v>0</v>
      </c>
      <c r="J13" s="43">
        <v>2</v>
      </c>
      <c r="K13" s="34"/>
    </row>
    <row r="14" spans="1:14" ht="18.75">
      <c r="A14" s="116"/>
      <c r="B14" s="44" t="s">
        <v>11</v>
      </c>
      <c r="C14" s="45">
        <v>1</v>
      </c>
      <c r="D14" s="46">
        <v>1</v>
      </c>
      <c r="E14" s="46">
        <v>8</v>
      </c>
      <c r="F14" s="46">
        <v>16</v>
      </c>
      <c r="G14" s="46">
        <v>2</v>
      </c>
      <c r="H14" s="46">
        <v>3</v>
      </c>
      <c r="I14" s="46">
        <v>1</v>
      </c>
      <c r="J14" s="43">
        <v>32</v>
      </c>
      <c r="K14" s="34"/>
    </row>
    <row r="15" spans="1:14" ht="21.75" thickBot="1">
      <c r="A15" s="117"/>
      <c r="B15" s="47" t="s">
        <v>9</v>
      </c>
      <c r="C15" s="48">
        <f t="shared" ref="C15:I15" si="1">SUM(C12:C14)</f>
        <v>3</v>
      </c>
      <c r="D15" s="49">
        <f t="shared" si="1"/>
        <v>1</v>
      </c>
      <c r="E15" s="49">
        <f t="shared" si="1"/>
        <v>31</v>
      </c>
      <c r="F15" s="49">
        <f t="shared" si="1"/>
        <v>30</v>
      </c>
      <c r="G15" s="49">
        <f t="shared" si="1"/>
        <v>4</v>
      </c>
      <c r="H15" s="49">
        <f t="shared" si="1"/>
        <v>6</v>
      </c>
      <c r="I15" s="49">
        <f t="shared" si="1"/>
        <v>2</v>
      </c>
      <c r="J15" s="50">
        <f>SUM(C15:I15)</f>
        <v>77</v>
      </c>
      <c r="K15" s="34"/>
    </row>
    <row r="16" spans="1:14" ht="18.75">
      <c r="A16" s="115" t="s">
        <v>25</v>
      </c>
      <c r="B16" s="40" t="s">
        <v>26</v>
      </c>
      <c r="C16" s="41">
        <v>60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51">
        <v>60</v>
      </c>
      <c r="K16" s="34"/>
    </row>
    <row r="17" spans="1:11" ht="18.75">
      <c r="A17" s="116"/>
      <c r="B17" s="44" t="s">
        <v>12</v>
      </c>
      <c r="C17" s="45">
        <v>8</v>
      </c>
      <c r="D17" s="46">
        <v>0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52">
        <v>8</v>
      </c>
      <c r="K17" s="34"/>
    </row>
    <row r="18" spans="1:11" ht="21.75" thickBot="1">
      <c r="A18" s="117"/>
      <c r="B18" s="50" t="s">
        <v>9</v>
      </c>
      <c r="C18" s="48">
        <f>SUM(C16:C17)</f>
        <v>68</v>
      </c>
      <c r="D18" s="49">
        <f>SUM(D16:D17)</f>
        <v>0</v>
      </c>
      <c r="E18" s="49">
        <v>0</v>
      </c>
      <c r="F18" s="49">
        <v>0</v>
      </c>
      <c r="G18" s="49">
        <v>0</v>
      </c>
      <c r="H18" s="49">
        <v>0</v>
      </c>
      <c r="I18" s="49">
        <v>0</v>
      </c>
      <c r="J18" s="50">
        <f>SUM(J16:J17)</f>
        <v>68</v>
      </c>
      <c r="K18" s="34"/>
    </row>
    <row r="19" spans="1:11" ht="21.75" thickBot="1">
      <c r="A19" s="105" t="s">
        <v>7</v>
      </c>
      <c r="B19" s="106"/>
      <c r="C19" s="53">
        <f t="shared" ref="C19:J19" si="2">C15+C18</f>
        <v>71</v>
      </c>
      <c r="D19" s="54">
        <f t="shared" si="2"/>
        <v>1</v>
      </c>
      <c r="E19" s="54">
        <f t="shared" si="2"/>
        <v>31</v>
      </c>
      <c r="F19" s="54">
        <f t="shared" si="2"/>
        <v>30</v>
      </c>
      <c r="G19" s="54">
        <f t="shared" si="2"/>
        <v>4</v>
      </c>
      <c r="H19" s="54">
        <f t="shared" si="2"/>
        <v>6</v>
      </c>
      <c r="I19" s="54">
        <f t="shared" si="2"/>
        <v>2</v>
      </c>
      <c r="J19" s="55">
        <f t="shared" si="2"/>
        <v>145</v>
      </c>
      <c r="K19" s="34"/>
    </row>
    <row r="20" spans="1:11" ht="19.5">
      <c r="A20" s="1"/>
      <c r="B20" s="56"/>
      <c r="C20" s="57"/>
      <c r="D20" s="57"/>
      <c r="E20" s="57"/>
      <c r="F20" s="57"/>
      <c r="G20" s="10"/>
      <c r="H20" s="10"/>
      <c r="I20" s="10"/>
      <c r="J20" s="10"/>
      <c r="K20" s="34"/>
    </row>
  </sheetData>
  <mergeCells count="8">
    <mergeCell ref="A19:B19"/>
    <mergeCell ref="B1:F1"/>
    <mergeCell ref="A9:J9"/>
    <mergeCell ref="A10:A11"/>
    <mergeCell ref="B10:B11"/>
    <mergeCell ref="C10:J10"/>
    <mergeCell ref="A12:A15"/>
    <mergeCell ref="A16:A18"/>
  </mergeCells>
  <pageMargins left="0.70866141732283472" right="0.70866141732283472" top="0.55118110236220474" bottom="0.55118110236220474" header="0.31496062992125984" footer="0.31496062992125984"/>
  <pageSetup paperSize="9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19"/>
  <sheetViews>
    <sheetView rightToLeft="1" workbookViewId="0">
      <selection activeCell="M24" sqref="M24"/>
    </sheetView>
  </sheetViews>
  <sheetFormatPr defaultRowHeight="18"/>
  <cols>
    <col min="1" max="1" width="33.28515625" style="58" bestFit="1" customWidth="1"/>
    <col min="2" max="2" width="18.85546875" style="58" bestFit="1" customWidth="1"/>
    <col min="3" max="3" width="13" style="58" bestFit="1" customWidth="1"/>
    <col min="4" max="4" width="7.7109375" style="58" customWidth="1"/>
    <col min="5" max="16384" width="9.140625" style="58"/>
  </cols>
  <sheetData>
    <row r="1" spans="1:4" ht="21">
      <c r="A1" s="118" t="s">
        <v>30</v>
      </c>
      <c r="B1" s="118"/>
      <c r="C1" s="118"/>
      <c r="D1" s="118"/>
    </row>
    <row r="2" spans="1:4" ht="21">
      <c r="A2" s="59" t="s">
        <v>31</v>
      </c>
      <c r="B2" s="59" t="s">
        <v>28</v>
      </c>
      <c r="C2" s="59" t="s">
        <v>27</v>
      </c>
      <c r="D2" s="59" t="s">
        <v>9</v>
      </c>
    </row>
    <row r="3" spans="1:4" ht="18.75">
      <c r="A3" s="60" t="s">
        <v>32</v>
      </c>
      <c r="B3" s="61">
        <v>40</v>
      </c>
      <c r="C3" s="61">
        <v>58</v>
      </c>
      <c r="D3" s="61">
        <f>SUM(B3:C3)</f>
        <v>98</v>
      </c>
    </row>
    <row r="4" spans="1:4" ht="18.75">
      <c r="A4" s="60" t="s">
        <v>2</v>
      </c>
      <c r="B4" s="61">
        <v>59</v>
      </c>
      <c r="C4" s="61">
        <v>57</v>
      </c>
      <c r="D4" s="61">
        <f>SUM(B4:C4)</f>
        <v>116</v>
      </c>
    </row>
    <row r="5" spans="1:4" ht="21">
      <c r="A5" s="62" t="s">
        <v>9</v>
      </c>
      <c r="B5" s="63">
        <f>SUM(B3:B4)</f>
        <v>99</v>
      </c>
      <c r="C5" s="63">
        <f>SUM(C3:C4)</f>
        <v>115</v>
      </c>
      <c r="D5" s="63">
        <f>SUM(D3:D4)</f>
        <v>214</v>
      </c>
    </row>
    <row r="6" spans="1:4">
      <c r="A6" s="64"/>
      <c r="B6" s="64"/>
      <c r="C6" s="64"/>
      <c r="D6" s="64"/>
    </row>
    <row r="7" spans="1:4" ht="21" customHeight="1">
      <c r="A7" s="118" t="s">
        <v>30</v>
      </c>
      <c r="B7" s="118"/>
      <c r="C7" s="118"/>
      <c r="D7" s="118"/>
    </row>
    <row r="8" spans="1:4" ht="19.5">
      <c r="A8" s="65" t="s">
        <v>33</v>
      </c>
      <c r="B8" s="65" t="s">
        <v>32</v>
      </c>
      <c r="C8" s="65" t="s">
        <v>2</v>
      </c>
      <c r="D8" s="65" t="s">
        <v>9</v>
      </c>
    </row>
    <row r="9" spans="1:4">
      <c r="A9" s="64" t="s">
        <v>34</v>
      </c>
      <c r="B9" s="66">
        <v>0</v>
      </c>
      <c r="C9" s="66">
        <v>13</v>
      </c>
      <c r="D9" s="66">
        <f>SUM(B9:C9)</f>
        <v>13</v>
      </c>
    </row>
    <row r="10" spans="1:4">
      <c r="A10" s="64" t="s">
        <v>35</v>
      </c>
      <c r="B10" s="66">
        <v>0</v>
      </c>
      <c r="C10" s="66">
        <v>25</v>
      </c>
      <c r="D10" s="66">
        <f>SUM(B10:C10)</f>
        <v>25</v>
      </c>
    </row>
    <row r="11" spans="1:4">
      <c r="A11" s="64" t="s">
        <v>36</v>
      </c>
      <c r="B11" s="66">
        <v>36</v>
      </c>
      <c r="C11" s="66">
        <v>18</v>
      </c>
      <c r="D11" s="66">
        <f t="shared" ref="D11:D16" si="0">SUM(B11:C11)</f>
        <v>54</v>
      </c>
    </row>
    <row r="12" spans="1:4">
      <c r="A12" s="64" t="s">
        <v>37</v>
      </c>
      <c r="B12" s="66">
        <v>62</v>
      </c>
      <c r="C12" s="66">
        <v>0</v>
      </c>
      <c r="D12" s="66">
        <f t="shared" si="0"/>
        <v>62</v>
      </c>
    </row>
    <row r="13" spans="1:4">
      <c r="A13" s="64" t="s">
        <v>38</v>
      </c>
      <c r="B13" s="66">
        <v>0</v>
      </c>
      <c r="C13" s="66">
        <v>13</v>
      </c>
      <c r="D13" s="66">
        <f t="shared" si="0"/>
        <v>13</v>
      </c>
    </row>
    <row r="14" spans="1:4">
      <c r="A14" s="64" t="s">
        <v>39</v>
      </c>
      <c r="B14" s="66">
        <v>0</v>
      </c>
      <c r="C14" s="66">
        <v>30</v>
      </c>
      <c r="D14" s="66">
        <f t="shared" si="0"/>
        <v>30</v>
      </c>
    </row>
    <row r="15" spans="1:4">
      <c r="A15" s="64" t="s">
        <v>40</v>
      </c>
      <c r="B15" s="66">
        <v>0</v>
      </c>
      <c r="C15" s="66">
        <v>3</v>
      </c>
      <c r="D15" s="66">
        <f t="shared" si="0"/>
        <v>3</v>
      </c>
    </row>
    <row r="16" spans="1:4">
      <c r="A16" s="64" t="s">
        <v>41</v>
      </c>
      <c r="B16" s="66">
        <v>0</v>
      </c>
      <c r="C16" s="66">
        <v>14</v>
      </c>
      <c r="D16" s="66">
        <f t="shared" si="0"/>
        <v>14</v>
      </c>
    </row>
    <row r="17" spans="1:4" ht="19.5">
      <c r="A17" s="67" t="s">
        <v>9</v>
      </c>
      <c r="B17" s="68">
        <f>SUM(B9:B16)</f>
        <v>98</v>
      </c>
      <c r="C17" s="68">
        <f>SUM(C9:C16)</f>
        <v>116</v>
      </c>
      <c r="D17" s="68">
        <f>SUM(D9:D16)</f>
        <v>214</v>
      </c>
    </row>
    <row r="18" spans="1:4" ht="19.5">
      <c r="A18" s="69" t="s">
        <v>42</v>
      </c>
      <c r="B18" s="64"/>
      <c r="C18" s="64"/>
      <c r="D18" s="64"/>
    </row>
    <row r="19" spans="1:4" ht="19.5">
      <c r="A19" s="69"/>
    </row>
  </sheetData>
  <mergeCells count="2">
    <mergeCell ref="A1:D1"/>
    <mergeCell ref="A7:D7"/>
  </mergeCells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S63"/>
  <sheetViews>
    <sheetView rightToLeft="1" workbookViewId="0">
      <pane xSplit="1" ySplit="2" topLeftCell="B3" activePane="bottomRight" state="frozen"/>
      <selection activeCell="O17" sqref="O17"/>
      <selection pane="topRight" activeCell="O17" sqref="O17"/>
      <selection pane="bottomLeft" activeCell="O17" sqref="O17"/>
      <selection pane="bottomRight" sqref="A1:H1"/>
    </sheetView>
  </sheetViews>
  <sheetFormatPr defaultColWidth="9" defaultRowHeight="15"/>
  <cols>
    <col min="1" max="1" width="17" customWidth="1"/>
    <col min="7" max="7" width="5.85546875" customWidth="1"/>
    <col min="9" max="9" width="10.140625" bestFit="1" customWidth="1"/>
    <col min="10" max="10" width="11.85546875" customWidth="1"/>
    <col min="11" max="11" width="9" style="72"/>
    <col min="12" max="12" width="16.28515625" bestFit="1" customWidth="1"/>
    <col min="13" max="13" width="23.85546875" bestFit="1" customWidth="1"/>
    <col min="14" max="14" width="19.5703125" customWidth="1"/>
    <col min="15" max="15" width="19.42578125" customWidth="1"/>
    <col min="16" max="16" width="10.7109375" bestFit="1" customWidth="1"/>
    <col min="18" max="18" width="5" bestFit="1" customWidth="1"/>
  </cols>
  <sheetData>
    <row r="1" spans="1:18" ht="20.25" thickBot="1">
      <c r="A1" s="122" t="s">
        <v>65</v>
      </c>
      <c r="B1" s="122"/>
      <c r="C1" s="122"/>
      <c r="D1" s="122"/>
      <c r="E1" s="122"/>
      <c r="F1" s="122"/>
      <c r="G1" s="122"/>
      <c r="H1" s="122"/>
      <c r="I1" s="71"/>
    </row>
    <row r="2" spans="1:18" ht="57.75" customHeight="1" thickBot="1">
      <c r="A2" s="123" t="s">
        <v>66</v>
      </c>
      <c r="B2" s="124"/>
      <c r="C2" s="73" t="s">
        <v>17</v>
      </c>
      <c r="D2" s="74" t="s">
        <v>18</v>
      </c>
      <c r="E2" s="75" t="s">
        <v>19</v>
      </c>
      <c r="F2" s="74" t="s">
        <v>20</v>
      </c>
      <c r="G2" s="75" t="s">
        <v>67</v>
      </c>
      <c r="H2" s="76" t="s">
        <v>68</v>
      </c>
    </row>
    <row r="3" spans="1:18" ht="18" customHeight="1">
      <c r="A3" s="119" t="s">
        <v>69</v>
      </c>
      <c r="B3" s="77">
        <v>1395</v>
      </c>
      <c r="C3" s="78">
        <v>2</v>
      </c>
      <c r="D3" s="79">
        <v>0</v>
      </c>
      <c r="E3" s="79">
        <v>2</v>
      </c>
      <c r="F3" s="79">
        <v>1</v>
      </c>
      <c r="G3" s="79"/>
      <c r="H3" s="77">
        <f t="shared" ref="H3:H26" si="0">SUM(C3:G3)</f>
        <v>5</v>
      </c>
      <c r="L3" s="80"/>
    </row>
    <row r="4" spans="1:18" ht="18" customHeight="1">
      <c r="A4" s="120"/>
      <c r="B4" s="81">
        <v>1396</v>
      </c>
      <c r="C4" s="82">
        <v>2</v>
      </c>
      <c r="D4" s="83">
        <v>0</v>
      </c>
      <c r="E4" s="83">
        <v>0</v>
      </c>
      <c r="F4" s="83">
        <v>0</v>
      </c>
      <c r="G4" s="83"/>
      <c r="H4" s="81">
        <f t="shared" si="0"/>
        <v>2</v>
      </c>
      <c r="I4" s="58"/>
      <c r="L4" s="80"/>
    </row>
    <row r="5" spans="1:18" ht="18" customHeight="1">
      <c r="A5" s="120"/>
      <c r="B5" s="84">
        <v>1397</v>
      </c>
      <c r="C5" s="85">
        <v>0</v>
      </c>
      <c r="D5" s="86">
        <v>0</v>
      </c>
      <c r="E5" s="86">
        <v>0</v>
      </c>
      <c r="F5" s="86">
        <v>0</v>
      </c>
      <c r="G5" s="86"/>
      <c r="H5" s="84">
        <f t="shared" si="0"/>
        <v>0</v>
      </c>
      <c r="I5" s="64"/>
      <c r="L5" s="80"/>
    </row>
    <row r="6" spans="1:18" ht="18" customHeight="1">
      <c r="A6" s="120"/>
      <c r="B6" s="84">
        <v>1398</v>
      </c>
      <c r="C6" s="85">
        <v>3</v>
      </c>
      <c r="D6" s="86">
        <v>1</v>
      </c>
      <c r="E6" s="86">
        <v>0</v>
      </c>
      <c r="F6" s="86">
        <v>3</v>
      </c>
      <c r="G6" s="86"/>
      <c r="H6" s="84">
        <f t="shared" si="0"/>
        <v>7</v>
      </c>
      <c r="I6" s="87"/>
      <c r="L6" s="80"/>
    </row>
    <row r="7" spans="1:18" ht="18" customHeight="1">
      <c r="A7" s="120"/>
      <c r="B7" s="84">
        <v>1399</v>
      </c>
      <c r="C7" s="85">
        <v>3</v>
      </c>
      <c r="D7" s="86">
        <v>4</v>
      </c>
      <c r="E7" s="86">
        <v>5</v>
      </c>
      <c r="F7" s="86">
        <v>3</v>
      </c>
      <c r="G7" s="86"/>
      <c r="H7" s="84">
        <f>SUM(C7:G7)</f>
        <v>15</v>
      </c>
      <c r="I7" s="87"/>
      <c r="K7"/>
      <c r="L7" s="80"/>
      <c r="M7" s="80"/>
      <c r="N7" s="80"/>
      <c r="O7" s="80"/>
      <c r="P7" s="80"/>
      <c r="Q7" s="80"/>
      <c r="R7" s="80"/>
    </row>
    <row r="8" spans="1:18" ht="18" customHeight="1">
      <c r="A8" s="120"/>
      <c r="B8" s="81">
        <v>1400</v>
      </c>
      <c r="C8" s="88">
        <v>4</v>
      </c>
      <c r="D8" s="83">
        <v>10</v>
      </c>
      <c r="E8" s="83">
        <v>5</v>
      </c>
      <c r="F8" s="83">
        <v>5</v>
      </c>
      <c r="G8" s="83">
        <v>0</v>
      </c>
      <c r="H8" s="81">
        <f>SUM(C8:G8)</f>
        <v>24</v>
      </c>
      <c r="I8" s="87"/>
      <c r="J8" s="89"/>
      <c r="K8"/>
      <c r="L8" s="80"/>
      <c r="M8" s="80"/>
      <c r="N8" s="80"/>
      <c r="O8" s="80"/>
      <c r="P8" s="80"/>
      <c r="Q8" s="80"/>
      <c r="R8" s="80"/>
    </row>
    <row r="9" spans="1:18" ht="18" customHeight="1">
      <c r="A9" s="120"/>
      <c r="B9" s="90">
        <v>1401</v>
      </c>
      <c r="C9" s="91">
        <v>5</v>
      </c>
      <c r="D9" s="92">
        <v>4</v>
      </c>
      <c r="E9" s="92">
        <v>8</v>
      </c>
      <c r="F9" s="92">
        <v>2</v>
      </c>
      <c r="G9" s="92"/>
      <c r="H9" s="81">
        <v>21</v>
      </c>
      <c r="I9" s="93"/>
      <c r="J9" s="89"/>
      <c r="K9"/>
      <c r="L9" s="80"/>
      <c r="M9" s="80"/>
      <c r="N9" s="80"/>
      <c r="O9" s="80"/>
      <c r="P9" s="80"/>
      <c r="Q9" s="80"/>
      <c r="R9" s="80"/>
    </row>
    <row r="10" spans="1:18" ht="18" customHeight="1">
      <c r="A10" s="120"/>
      <c r="B10" s="84">
        <v>1402</v>
      </c>
      <c r="C10" s="85">
        <v>2</v>
      </c>
      <c r="D10" s="86">
        <v>5</v>
      </c>
      <c r="E10" s="86">
        <v>13</v>
      </c>
      <c r="F10" s="86">
        <v>3</v>
      </c>
      <c r="G10" s="86"/>
      <c r="H10" s="84">
        <f>SUM(C10:G10)</f>
        <v>23</v>
      </c>
      <c r="I10" s="87"/>
      <c r="J10" s="89"/>
      <c r="K10"/>
      <c r="L10" s="80"/>
      <c r="M10" s="80"/>
      <c r="N10" s="80"/>
      <c r="O10" s="80"/>
      <c r="P10" s="80"/>
      <c r="Q10" s="80"/>
      <c r="R10" s="80"/>
    </row>
    <row r="11" spans="1:18" ht="18" customHeight="1">
      <c r="A11" s="120"/>
      <c r="B11" s="81">
        <v>1403</v>
      </c>
      <c r="C11" s="88">
        <v>5</v>
      </c>
      <c r="D11" s="83">
        <v>6</v>
      </c>
      <c r="E11" s="83">
        <v>9</v>
      </c>
      <c r="F11" s="83">
        <v>7</v>
      </c>
      <c r="G11" s="83"/>
      <c r="H11" s="81">
        <v>28</v>
      </c>
      <c r="I11" s="87"/>
      <c r="J11" s="89"/>
      <c r="K11" s="93"/>
      <c r="L11" s="80"/>
      <c r="M11" s="80"/>
      <c r="N11" s="80"/>
      <c r="O11" s="80"/>
      <c r="P11" s="80"/>
      <c r="Q11" s="80"/>
      <c r="R11" s="80"/>
    </row>
    <row r="12" spans="1:18" ht="18" customHeight="1" thickBot="1">
      <c r="A12" s="121"/>
      <c r="B12" s="90">
        <v>1404</v>
      </c>
      <c r="C12" s="91">
        <v>5</v>
      </c>
      <c r="D12" s="92">
        <v>1</v>
      </c>
      <c r="E12" s="92">
        <v>9</v>
      </c>
      <c r="F12" s="92">
        <v>5</v>
      </c>
      <c r="G12" s="92"/>
      <c r="H12" s="94">
        <f>SUM(C12:G12)+1</f>
        <v>21</v>
      </c>
      <c r="I12" s="87"/>
      <c r="J12" s="93"/>
      <c r="K12" s="93"/>
      <c r="L12" s="80"/>
      <c r="M12" s="80"/>
      <c r="N12" s="80"/>
      <c r="O12" s="80"/>
      <c r="P12" s="80"/>
      <c r="Q12" s="80"/>
      <c r="R12" s="80"/>
    </row>
    <row r="13" spans="1:18" ht="18" customHeight="1">
      <c r="A13" s="119" t="s">
        <v>70</v>
      </c>
      <c r="B13" s="77">
        <v>1395</v>
      </c>
      <c r="C13" s="95">
        <v>3</v>
      </c>
      <c r="D13" s="79">
        <v>2</v>
      </c>
      <c r="E13" s="79">
        <v>3</v>
      </c>
      <c r="F13" s="79">
        <v>0</v>
      </c>
      <c r="G13" s="79"/>
      <c r="H13" s="77">
        <f t="shared" si="0"/>
        <v>8</v>
      </c>
      <c r="I13" s="58"/>
      <c r="J13" s="72"/>
      <c r="L13" s="80"/>
      <c r="M13" s="80"/>
      <c r="N13" s="80"/>
      <c r="O13" s="80"/>
      <c r="P13" s="80"/>
      <c r="Q13" s="80"/>
      <c r="R13" s="80"/>
    </row>
    <row r="14" spans="1:18" ht="18" customHeight="1">
      <c r="A14" s="120"/>
      <c r="B14" s="81">
        <v>1396</v>
      </c>
      <c r="C14" s="88">
        <v>12</v>
      </c>
      <c r="D14" s="83">
        <v>11</v>
      </c>
      <c r="E14" s="83">
        <v>8</v>
      </c>
      <c r="F14" s="83">
        <v>3</v>
      </c>
      <c r="G14" s="83"/>
      <c r="H14" s="81">
        <f t="shared" si="0"/>
        <v>34</v>
      </c>
      <c r="I14" s="58"/>
      <c r="J14" s="72"/>
      <c r="L14" s="80"/>
      <c r="M14" s="80"/>
      <c r="N14" s="80"/>
      <c r="O14" s="80"/>
      <c r="P14" s="80"/>
      <c r="Q14" s="80"/>
      <c r="R14" s="80"/>
    </row>
    <row r="15" spans="1:18" ht="18" customHeight="1">
      <c r="A15" s="120"/>
      <c r="B15" s="84">
        <v>1397</v>
      </c>
      <c r="C15" s="85">
        <v>15</v>
      </c>
      <c r="D15" s="86">
        <v>9</v>
      </c>
      <c r="E15" s="86">
        <f>7+1</f>
        <v>8</v>
      </c>
      <c r="F15" s="86">
        <v>8</v>
      </c>
      <c r="G15" s="86"/>
      <c r="H15" s="84">
        <f t="shared" si="0"/>
        <v>40</v>
      </c>
      <c r="I15" s="64"/>
      <c r="J15" s="96"/>
      <c r="K15"/>
      <c r="L15" s="80"/>
      <c r="M15" s="80"/>
      <c r="N15" s="80"/>
      <c r="O15" s="80"/>
      <c r="P15" s="80"/>
      <c r="Q15" s="80"/>
      <c r="R15" s="80"/>
    </row>
    <row r="16" spans="1:18" ht="18" customHeight="1">
      <c r="A16" s="120"/>
      <c r="B16" s="84">
        <v>1398</v>
      </c>
      <c r="C16" s="85">
        <v>18</v>
      </c>
      <c r="D16" s="86">
        <v>18</v>
      </c>
      <c r="E16" s="86">
        <v>7</v>
      </c>
      <c r="F16" s="86">
        <v>5</v>
      </c>
      <c r="G16" s="86"/>
      <c r="H16" s="84">
        <f t="shared" si="0"/>
        <v>48</v>
      </c>
      <c r="I16" s="97"/>
      <c r="J16" s="96"/>
      <c r="K16"/>
      <c r="L16" s="80"/>
      <c r="M16" s="80"/>
      <c r="N16" s="80"/>
      <c r="O16" s="80"/>
      <c r="P16" s="80"/>
      <c r="Q16" s="80"/>
      <c r="R16" s="80"/>
    </row>
    <row r="17" spans="1:18" ht="18" customHeight="1">
      <c r="A17" s="120"/>
      <c r="B17" s="84">
        <v>1399</v>
      </c>
      <c r="C17" s="85">
        <v>14</v>
      </c>
      <c r="D17" s="86">
        <v>12</v>
      </c>
      <c r="E17" s="86">
        <v>7</v>
      </c>
      <c r="F17" s="86">
        <v>4</v>
      </c>
      <c r="G17" s="86"/>
      <c r="H17" s="84">
        <f t="shared" ref="H17:H22" si="1">SUM(C17:G17)</f>
        <v>37</v>
      </c>
      <c r="I17" s="87"/>
      <c r="J17" s="89"/>
      <c r="K17"/>
      <c r="L17" s="80"/>
      <c r="M17" s="80"/>
      <c r="N17" s="80"/>
      <c r="O17" s="80"/>
      <c r="P17" s="80"/>
      <c r="Q17" s="80"/>
      <c r="R17" s="80"/>
    </row>
    <row r="18" spans="1:18" ht="18" customHeight="1">
      <c r="A18" s="120"/>
      <c r="B18" s="81">
        <v>1400</v>
      </c>
      <c r="C18" s="88">
        <v>7</v>
      </c>
      <c r="D18" s="83">
        <v>22</v>
      </c>
      <c r="E18" s="83">
        <v>7</v>
      </c>
      <c r="F18" s="83">
        <v>5</v>
      </c>
      <c r="G18" s="83">
        <v>0</v>
      </c>
      <c r="H18" s="81">
        <f t="shared" si="1"/>
        <v>41</v>
      </c>
      <c r="I18" s="87"/>
      <c r="J18" s="89"/>
      <c r="K18"/>
      <c r="L18" s="80"/>
      <c r="M18" s="80"/>
      <c r="N18" s="80"/>
      <c r="O18" s="80"/>
      <c r="P18" s="80"/>
      <c r="Q18" s="80"/>
      <c r="R18" s="80"/>
    </row>
    <row r="19" spans="1:18" ht="18" customHeight="1">
      <c r="A19" s="120"/>
      <c r="B19" s="90">
        <v>1401</v>
      </c>
      <c r="C19" s="91">
        <v>11</v>
      </c>
      <c r="D19" s="92">
        <v>25</v>
      </c>
      <c r="E19" s="92">
        <v>4</v>
      </c>
      <c r="F19" s="92">
        <v>5</v>
      </c>
      <c r="G19" s="92">
        <v>0</v>
      </c>
      <c r="H19" s="81">
        <f t="shared" si="1"/>
        <v>45</v>
      </c>
      <c r="I19" s="87"/>
      <c r="J19" s="89"/>
      <c r="K19"/>
      <c r="L19" s="80"/>
      <c r="M19" s="80"/>
      <c r="N19" s="80"/>
      <c r="O19" s="80"/>
      <c r="P19" s="80"/>
      <c r="Q19" s="80"/>
      <c r="R19" s="80"/>
    </row>
    <row r="20" spans="1:18" ht="18" customHeight="1">
      <c r="A20" s="120"/>
      <c r="B20" s="84">
        <v>1402</v>
      </c>
      <c r="C20" s="85">
        <v>5</v>
      </c>
      <c r="D20" s="86">
        <v>12</v>
      </c>
      <c r="E20" s="86">
        <v>6</v>
      </c>
      <c r="F20" s="86">
        <v>4</v>
      </c>
      <c r="G20" s="86"/>
      <c r="H20" s="81">
        <f t="shared" si="1"/>
        <v>27</v>
      </c>
      <c r="I20" s="87"/>
      <c r="J20" s="89"/>
      <c r="K20"/>
      <c r="L20" s="80"/>
      <c r="M20" s="80"/>
      <c r="N20" s="80"/>
      <c r="O20" s="80"/>
      <c r="P20" s="80"/>
      <c r="Q20" s="80"/>
      <c r="R20" s="80"/>
    </row>
    <row r="21" spans="1:18" ht="18" customHeight="1">
      <c r="A21" s="120"/>
      <c r="B21" s="81">
        <v>1403</v>
      </c>
      <c r="C21" s="88">
        <v>11</v>
      </c>
      <c r="D21" s="83">
        <v>21</v>
      </c>
      <c r="E21" s="83">
        <v>7</v>
      </c>
      <c r="F21" s="83">
        <v>5</v>
      </c>
      <c r="G21" s="83"/>
      <c r="H21" s="81">
        <f t="shared" si="1"/>
        <v>44</v>
      </c>
      <c r="I21" s="87"/>
      <c r="J21" s="89"/>
      <c r="K21"/>
      <c r="L21" s="80"/>
      <c r="M21" s="80"/>
      <c r="N21" s="80"/>
      <c r="O21" s="80"/>
      <c r="P21" s="80"/>
      <c r="Q21" s="80"/>
      <c r="R21" s="80"/>
    </row>
    <row r="22" spans="1:18" ht="18" customHeight="1" thickBot="1">
      <c r="A22" s="121"/>
      <c r="B22" s="94">
        <v>1404</v>
      </c>
      <c r="C22" s="98">
        <v>18</v>
      </c>
      <c r="D22" s="99">
        <v>26</v>
      </c>
      <c r="E22" s="99">
        <v>16</v>
      </c>
      <c r="F22" s="99">
        <v>18</v>
      </c>
      <c r="G22" s="99"/>
      <c r="H22" s="94">
        <f t="shared" si="1"/>
        <v>78</v>
      </c>
      <c r="I22" s="87"/>
      <c r="J22" s="89"/>
      <c r="K22"/>
      <c r="L22" s="80"/>
      <c r="M22" s="80"/>
      <c r="N22" s="80"/>
      <c r="O22" s="80"/>
      <c r="P22" s="80"/>
      <c r="Q22" s="80"/>
      <c r="R22" s="80"/>
    </row>
    <row r="23" spans="1:18" ht="18" customHeight="1">
      <c r="A23" s="119" t="s">
        <v>71</v>
      </c>
      <c r="B23" s="100">
        <v>1395</v>
      </c>
      <c r="C23" s="82">
        <v>9</v>
      </c>
      <c r="D23" s="101">
        <v>2</v>
      </c>
      <c r="E23" s="101">
        <v>4</v>
      </c>
      <c r="F23" s="101">
        <v>0</v>
      </c>
      <c r="G23" s="101"/>
      <c r="H23" s="100">
        <f t="shared" si="0"/>
        <v>15</v>
      </c>
      <c r="I23" s="58"/>
      <c r="K23"/>
      <c r="L23" s="80"/>
      <c r="M23" s="80"/>
      <c r="N23" s="80"/>
      <c r="O23" s="80"/>
      <c r="P23" s="80"/>
      <c r="Q23" s="80"/>
      <c r="R23" s="80"/>
    </row>
    <row r="24" spans="1:18" ht="18" customHeight="1">
      <c r="A24" s="120"/>
      <c r="B24" s="81">
        <v>1396</v>
      </c>
      <c r="C24" s="88">
        <v>4</v>
      </c>
      <c r="D24" s="83">
        <v>3</v>
      </c>
      <c r="E24" s="83">
        <v>5</v>
      </c>
      <c r="F24" s="83">
        <v>2</v>
      </c>
      <c r="G24" s="83"/>
      <c r="H24" s="81">
        <f t="shared" si="0"/>
        <v>14</v>
      </c>
      <c r="I24" s="58"/>
      <c r="K24"/>
      <c r="L24" s="80"/>
      <c r="M24" s="80"/>
      <c r="N24" s="80"/>
      <c r="O24" s="80"/>
      <c r="P24" s="80"/>
      <c r="Q24" s="80"/>
      <c r="R24" s="80"/>
    </row>
    <row r="25" spans="1:18" ht="18" customHeight="1">
      <c r="A25" s="120"/>
      <c r="B25" s="84">
        <v>1397</v>
      </c>
      <c r="C25" s="85">
        <v>5</v>
      </c>
      <c r="D25" s="86">
        <v>0</v>
      </c>
      <c r="E25" s="86">
        <v>2</v>
      </c>
      <c r="F25" s="86">
        <v>1</v>
      </c>
      <c r="G25" s="86"/>
      <c r="H25" s="84">
        <f t="shared" si="0"/>
        <v>8</v>
      </c>
      <c r="I25" s="58"/>
      <c r="K25"/>
      <c r="L25" s="80"/>
      <c r="M25" s="80"/>
      <c r="N25" s="80"/>
      <c r="O25" s="80"/>
      <c r="P25" s="80"/>
      <c r="Q25" s="80"/>
      <c r="R25" s="80"/>
    </row>
    <row r="26" spans="1:18" ht="18" customHeight="1">
      <c r="A26" s="120"/>
      <c r="B26" s="84">
        <v>1398</v>
      </c>
      <c r="C26" s="85">
        <v>6</v>
      </c>
      <c r="D26" s="86">
        <v>1</v>
      </c>
      <c r="E26" s="86">
        <v>0</v>
      </c>
      <c r="F26" s="86">
        <v>0</v>
      </c>
      <c r="G26" s="86"/>
      <c r="H26" s="84">
        <f t="shared" si="0"/>
        <v>7</v>
      </c>
      <c r="I26" s="87"/>
      <c r="K26"/>
    </row>
    <row r="27" spans="1:18" ht="18" customHeight="1">
      <c r="A27" s="120"/>
      <c r="B27" s="84">
        <v>1399</v>
      </c>
      <c r="C27" s="85">
        <v>7</v>
      </c>
      <c r="D27" s="86">
        <v>2</v>
      </c>
      <c r="E27" s="86">
        <v>4</v>
      </c>
      <c r="F27" s="86">
        <v>1</v>
      </c>
      <c r="G27" s="86"/>
      <c r="H27" s="84">
        <f t="shared" ref="H27:H32" si="2">SUM(C27:G27)</f>
        <v>14</v>
      </c>
      <c r="I27" s="87"/>
      <c r="K27"/>
      <c r="Q27" s="58"/>
    </row>
    <row r="28" spans="1:18" ht="18" customHeight="1">
      <c r="A28" s="120"/>
      <c r="B28" s="81">
        <v>1400</v>
      </c>
      <c r="C28" s="88">
        <v>1</v>
      </c>
      <c r="D28" s="83">
        <v>1</v>
      </c>
      <c r="E28" s="83">
        <v>2</v>
      </c>
      <c r="F28" s="83">
        <v>0</v>
      </c>
      <c r="G28" s="83"/>
      <c r="H28" s="81">
        <f t="shared" si="2"/>
        <v>4</v>
      </c>
      <c r="I28" s="87"/>
      <c r="J28" s="89"/>
      <c r="K28"/>
      <c r="Q28" s="58"/>
    </row>
    <row r="29" spans="1:18" ht="18" customHeight="1">
      <c r="A29" s="120"/>
      <c r="B29" s="90">
        <v>1401</v>
      </c>
      <c r="C29" s="91">
        <v>9</v>
      </c>
      <c r="D29" s="92">
        <v>8</v>
      </c>
      <c r="E29" s="92">
        <v>4</v>
      </c>
      <c r="F29" s="92">
        <v>3</v>
      </c>
      <c r="G29" s="92"/>
      <c r="H29" s="81">
        <f t="shared" si="2"/>
        <v>24</v>
      </c>
      <c r="I29" s="87"/>
      <c r="J29" s="89"/>
      <c r="K29"/>
      <c r="Q29" s="58"/>
    </row>
    <row r="30" spans="1:18" ht="18" customHeight="1">
      <c r="A30" s="120"/>
      <c r="B30" s="84">
        <v>1402</v>
      </c>
      <c r="C30" s="85">
        <v>4</v>
      </c>
      <c r="D30" s="86">
        <v>3</v>
      </c>
      <c r="E30" s="86">
        <v>9</v>
      </c>
      <c r="F30" s="86">
        <v>1</v>
      </c>
      <c r="G30" s="86"/>
      <c r="H30" s="84">
        <f t="shared" si="2"/>
        <v>17</v>
      </c>
      <c r="I30" s="87"/>
      <c r="J30" s="89"/>
      <c r="K30"/>
      <c r="Q30" s="58"/>
    </row>
    <row r="31" spans="1:18" ht="18" customHeight="1">
      <c r="A31" s="120"/>
      <c r="B31" s="81">
        <v>1403</v>
      </c>
      <c r="C31" s="88">
        <v>4</v>
      </c>
      <c r="D31" s="83">
        <v>5</v>
      </c>
      <c r="E31" s="83">
        <v>4</v>
      </c>
      <c r="F31" s="83">
        <v>8</v>
      </c>
      <c r="G31" s="83"/>
      <c r="H31" s="81">
        <f t="shared" si="2"/>
        <v>21</v>
      </c>
      <c r="I31" s="102"/>
      <c r="J31" s="89"/>
      <c r="K31"/>
      <c r="Q31" s="58"/>
    </row>
    <row r="32" spans="1:18" ht="18" customHeight="1" thickBot="1">
      <c r="A32" s="121"/>
      <c r="B32" s="94">
        <v>1404</v>
      </c>
      <c r="C32" s="98">
        <v>3</v>
      </c>
      <c r="D32" s="99">
        <v>2</v>
      </c>
      <c r="E32" s="99">
        <v>3</v>
      </c>
      <c r="F32" s="99">
        <v>7</v>
      </c>
      <c r="G32" s="99"/>
      <c r="H32" s="94">
        <f t="shared" si="2"/>
        <v>15</v>
      </c>
      <c r="I32" s="87"/>
      <c r="J32" s="89"/>
      <c r="K32"/>
      <c r="Q32" s="58"/>
    </row>
    <row r="33" spans="1:19" ht="18.75" customHeight="1">
      <c r="A33" s="119" t="s">
        <v>72</v>
      </c>
      <c r="B33" s="77">
        <v>1395</v>
      </c>
      <c r="C33" s="88">
        <v>12</v>
      </c>
      <c r="D33" s="83">
        <v>16</v>
      </c>
      <c r="E33" s="83">
        <v>28</v>
      </c>
      <c r="F33" s="83">
        <v>12</v>
      </c>
      <c r="G33" s="101">
        <v>4</v>
      </c>
      <c r="H33" s="81">
        <v>72</v>
      </c>
      <c r="J33" s="89"/>
      <c r="L33" s="72"/>
      <c r="M33" s="72"/>
      <c r="N33" s="72"/>
      <c r="O33" s="72"/>
      <c r="P33" s="72"/>
      <c r="Q33" s="72"/>
      <c r="R33" s="72"/>
      <c r="S33" s="72"/>
    </row>
    <row r="34" spans="1:19" ht="18.75" customHeight="1">
      <c r="A34" s="120"/>
      <c r="B34" s="81">
        <v>1396</v>
      </c>
      <c r="C34" s="85">
        <v>16</v>
      </c>
      <c r="D34" s="86">
        <v>15</v>
      </c>
      <c r="E34" s="86">
        <v>22</v>
      </c>
      <c r="F34" s="86">
        <v>14</v>
      </c>
      <c r="G34" s="86">
        <v>5</v>
      </c>
      <c r="H34" s="84">
        <v>72</v>
      </c>
      <c r="J34" s="89"/>
      <c r="L34" s="72"/>
      <c r="M34" s="72"/>
      <c r="N34" s="72"/>
      <c r="O34" s="72"/>
      <c r="P34" s="72"/>
      <c r="Q34" s="72"/>
      <c r="R34" s="72"/>
      <c r="S34" s="72"/>
    </row>
    <row r="35" spans="1:19" ht="18.75">
      <c r="A35" s="120"/>
      <c r="B35" s="84">
        <v>1397</v>
      </c>
      <c r="C35" s="85">
        <v>9</v>
      </c>
      <c r="D35" s="86">
        <v>20</v>
      </c>
      <c r="E35" s="86">
        <v>14</v>
      </c>
      <c r="F35" s="86">
        <v>12</v>
      </c>
      <c r="G35" s="86">
        <v>4</v>
      </c>
      <c r="H35" s="84">
        <v>59</v>
      </c>
      <c r="J35" s="89"/>
      <c r="L35" s="72"/>
      <c r="M35" s="72"/>
      <c r="N35" s="72"/>
      <c r="O35" s="72"/>
      <c r="P35" s="72"/>
      <c r="Q35" s="72"/>
      <c r="R35" s="72"/>
      <c r="S35" s="72"/>
    </row>
    <row r="36" spans="1:19" ht="18.75" customHeight="1">
      <c r="A36" s="120"/>
      <c r="B36" s="84">
        <v>1398</v>
      </c>
      <c r="C36" s="103">
        <v>8</v>
      </c>
      <c r="D36" s="83">
        <v>12</v>
      </c>
      <c r="E36" s="83">
        <v>16</v>
      </c>
      <c r="F36" s="83">
        <v>3</v>
      </c>
      <c r="G36" s="83"/>
      <c r="H36" s="81">
        <v>39</v>
      </c>
      <c r="J36" s="89"/>
      <c r="L36" s="72"/>
      <c r="M36" s="72"/>
      <c r="N36" s="72"/>
      <c r="O36" s="72"/>
      <c r="P36" s="72"/>
      <c r="Q36" s="72"/>
      <c r="R36" s="72"/>
      <c r="S36" s="72"/>
    </row>
    <row r="37" spans="1:19" ht="18" customHeight="1">
      <c r="A37" s="120"/>
      <c r="B37" s="84">
        <v>1399</v>
      </c>
      <c r="C37" s="91">
        <v>5</v>
      </c>
      <c r="D37" s="92">
        <v>7</v>
      </c>
      <c r="E37" s="92">
        <v>3</v>
      </c>
      <c r="F37" s="92">
        <v>6</v>
      </c>
      <c r="G37" s="83"/>
      <c r="H37" s="84">
        <f>SUM(C37:F37)</f>
        <v>21</v>
      </c>
      <c r="I37" s="87"/>
      <c r="J37" s="89"/>
      <c r="K37"/>
      <c r="L37" s="72"/>
      <c r="M37" s="72"/>
      <c r="N37" s="72"/>
      <c r="O37" s="72"/>
      <c r="P37" s="72"/>
      <c r="Q37" s="72"/>
      <c r="R37" s="72"/>
      <c r="S37" s="72"/>
    </row>
    <row r="38" spans="1:19" ht="18" customHeight="1">
      <c r="A38" s="120"/>
      <c r="B38" s="81">
        <v>1400</v>
      </c>
      <c r="C38" s="88">
        <v>10</v>
      </c>
      <c r="D38" s="83">
        <v>8</v>
      </c>
      <c r="E38" s="83">
        <v>13</v>
      </c>
      <c r="F38" s="83">
        <v>5</v>
      </c>
      <c r="G38" s="83"/>
      <c r="H38" s="81">
        <f>SUM(C38:F38)</f>
        <v>36</v>
      </c>
      <c r="I38" s="87"/>
      <c r="J38" s="89"/>
      <c r="K38"/>
      <c r="L38" s="72"/>
      <c r="M38" s="72"/>
      <c r="N38" s="72"/>
      <c r="O38" s="72"/>
      <c r="P38" s="72"/>
      <c r="Q38" s="72"/>
      <c r="R38" s="72"/>
      <c r="S38" s="72"/>
    </row>
    <row r="39" spans="1:19" ht="18" customHeight="1">
      <c r="A39" s="120"/>
      <c r="B39" s="90">
        <v>1401</v>
      </c>
      <c r="C39" s="91">
        <v>9</v>
      </c>
      <c r="D39" s="92">
        <v>11</v>
      </c>
      <c r="E39" s="92">
        <v>26</v>
      </c>
      <c r="F39" s="92">
        <v>0</v>
      </c>
      <c r="G39" s="92"/>
      <c r="H39" s="81">
        <f>SUM(C39:G39)</f>
        <v>46</v>
      </c>
      <c r="I39" s="87"/>
      <c r="J39" s="89"/>
      <c r="K39"/>
      <c r="L39" s="72"/>
      <c r="M39" s="72"/>
      <c r="N39" s="72"/>
      <c r="O39" s="72"/>
      <c r="P39" s="72"/>
      <c r="Q39" s="72"/>
      <c r="R39" s="72"/>
      <c r="S39" s="72"/>
    </row>
    <row r="40" spans="1:19" ht="18" customHeight="1">
      <c r="A40" s="120"/>
      <c r="B40" s="84">
        <v>1402</v>
      </c>
      <c r="C40" s="85">
        <v>7</v>
      </c>
      <c r="D40" s="86">
        <v>13</v>
      </c>
      <c r="E40" s="86">
        <v>23</v>
      </c>
      <c r="F40" s="86">
        <v>7</v>
      </c>
      <c r="G40" s="86"/>
      <c r="H40" s="90">
        <f>SUM(C40:G40)</f>
        <v>50</v>
      </c>
      <c r="I40" s="87"/>
      <c r="J40" s="89"/>
      <c r="K40"/>
      <c r="L40" s="72"/>
      <c r="M40" s="72"/>
      <c r="N40" s="72"/>
      <c r="O40" s="72"/>
      <c r="P40" s="72"/>
      <c r="Q40" s="72"/>
      <c r="R40" s="72"/>
      <c r="S40" s="72"/>
    </row>
    <row r="41" spans="1:19" ht="18" customHeight="1">
      <c r="A41" s="120"/>
      <c r="B41" s="81">
        <v>1403</v>
      </c>
      <c r="C41" s="88">
        <v>5</v>
      </c>
      <c r="D41" s="83">
        <v>8</v>
      </c>
      <c r="E41" s="83">
        <v>13</v>
      </c>
      <c r="F41" s="83">
        <v>3</v>
      </c>
      <c r="G41" s="83"/>
      <c r="H41" s="81">
        <f>SUM(C41:G41)</f>
        <v>29</v>
      </c>
      <c r="I41" s="87"/>
      <c r="J41" s="89"/>
      <c r="K41"/>
      <c r="L41" s="72"/>
      <c r="M41" s="72"/>
      <c r="N41" s="72"/>
      <c r="O41" s="72"/>
      <c r="P41" s="72"/>
      <c r="Q41" s="72"/>
      <c r="R41" s="72"/>
      <c r="S41" s="72"/>
    </row>
    <row r="42" spans="1:19" ht="18" customHeight="1" thickBot="1">
      <c r="A42" s="121"/>
      <c r="B42" s="94">
        <v>1404</v>
      </c>
      <c r="C42" s="98">
        <v>6</v>
      </c>
      <c r="D42" s="99">
        <v>4</v>
      </c>
      <c r="E42" s="99">
        <v>9</v>
      </c>
      <c r="F42" s="99">
        <v>4</v>
      </c>
      <c r="G42" s="99"/>
      <c r="H42" s="94">
        <f>SUM(C42:G42)</f>
        <v>23</v>
      </c>
      <c r="I42" s="87"/>
      <c r="J42" s="89"/>
      <c r="K42"/>
      <c r="L42" s="72"/>
      <c r="M42" s="72"/>
      <c r="N42" s="72"/>
      <c r="O42" s="72"/>
      <c r="P42" s="72"/>
      <c r="Q42" s="72"/>
      <c r="R42" s="72"/>
      <c r="S42" s="72"/>
    </row>
    <row r="43" spans="1:19" ht="18.75" customHeight="1">
      <c r="A43" s="119" t="s">
        <v>73</v>
      </c>
      <c r="B43" s="100">
        <v>1395</v>
      </c>
      <c r="C43" s="82">
        <v>1</v>
      </c>
      <c r="D43" s="101">
        <v>8</v>
      </c>
      <c r="E43" s="101">
        <v>7</v>
      </c>
      <c r="F43" s="101">
        <v>0</v>
      </c>
      <c r="G43" s="101">
        <v>0</v>
      </c>
      <c r="H43" s="100">
        <v>16</v>
      </c>
      <c r="J43" s="89"/>
      <c r="L43" s="72"/>
      <c r="M43" s="72"/>
      <c r="N43" s="72"/>
      <c r="O43" s="72"/>
      <c r="P43" s="72"/>
      <c r="Q43" s="72"/>
      <c r="R43" s="72"/>
      <c r="S43" s="72"/>
    </row>
    <row r="44" spans="1:19" ht="18.75" customHeight="1">
      <c r="A44" s="120"/>
      <c r="B44" s="81">
        <v>1396</v>
      </c>
      <c r="C44" s="85">
        <v>0</v>
      </c>
      <c r="D44" s="86">
        <v>4</v>
      </c>
      <c r="E44" s="86">
        <v>7</v>
      </c>
      <c r="F44" s="86">
        <v>1</v>
      </c>
      <c r="G44" s="86">
        <v>1</v>
      </c>
      <c r="H44" s="84">
        <v>13</v>
      </c>
      <c r="J44" s="89"/>
      <c r="L44" s="72"/>
      <c r="M44" s="72"/>
      <c r="N44" s="72"/>
      <c r="O44" s="72"/>
      <c r="P44" s="72"/>
      <c r="Q44" s="72"/>
      <c r="R44" s="72"/>
      <c r="S44" s="72"/>
    </row>
    <row r="45" spans="1:19" ht="18.75">
      <c r="A45" s="120"/>
      <c r="B45" s="84">
        <v>1397</v>
      </c>
      <c r="C45" s="85">
        <v>0</v>
      </c>
      <c r="D45" s="86">
        <v>7</v>
      </c>
      <c r="E45" s="86">
        <v>3</v>
      </c>
      <c r="F45" s="86">
        <v>1</v>
      </c>
      <c r="G45" s="86">
        <v>3</v>
      </c>
      <c r="H45" s="84">
        <v>14</v>
      </c>
      <c r="J45" s="89"/>
      <c r="L45" s="72"/>
      <c r="M45" s="72"/>
      <c r="N45" s="72"/>
      <c r="O45" s="72"/>
      <c r="P45" s="72"/>
      <c r="Q45" s="72"/>
      <c r="R45" s="72"/>
      <c r="S45" s="72"/>
    </row>
    <row r="46" spans="1:19" ht="18.75" customHeight="1">
      <c r="A46" s="120"/>
      <c r="B46" s="84">
        <v>1398</v>
      </c>
      <c r="C46" s="103">
        <v>0</v>
      </c>
      <c r="D46" s="83">
        <v>1</v>
      </c>
      <c r="E46" s="83">
        <v>10</v>
      </c>
      <c r="F46" s="83">
        <v>0</v>
      </c>
      <c r="G46" s="83"/>
      <c r="H46" s="81">
        <v>11</v>
      </c>
      <c r="J46" s="89"/>
      <c r="L46" s="72"/>
      <c r="M46" s="72"/>
      <c r="N46" s="72"/>
      <c r="O46" s="72"/>
      <c r="P46" s="72"/>
      <c r="Q46" s="72"/>
      <c r="R46" s="72"/>
      <c r="S46" s="72"/>
    </row>
    <row r="47" spans="1:19" ht="18" customHeight="1">
      <c r="A47" s="120"/>
      <c r="B47" s="84">
        <v>1399</v>
      </c>
      <c r="C47" s="91">
        <v>0</v>
      </c>
      <c r="D47" s="92">
        <v>8</v>
      </c>
      <c r="E47" s="92">
        <v>5</v>
      </c>
      <c r="F47" s="92">
        <v>0</v>
      </c>
      <c r="G47" s="83"/>
      <c r="H47" s="84">
        <f>SUM(C47:F47)</f>
        <v>13</v>
      </c>
      <c r="I47" s="87"/>
      <c r="J47" s="89"/>
      <c r="K47"/>
      <c r="L47" s="72"/>
      <c r="M47" s="72"/>
      <c r="N47" s="72"/>
      <c r="O47" s="72"/>
      <c r="P47" s="72"/>
      <c r="Q47" s="72"/>
      <c r="R47" s="72"/>
      <c r="S47" s="72"/>
    </row>
    <row r="48" spans="1:19" ht="18" customHeight="1">
      <c r="A48" s="120"/>
      <c r="B48" s="81">
        <v>1400</v>
      </c>
      <c r="C48" s="88">
        <v>0</v>
      </c>
      <c r="D48" s="83">
        <v>0</v>
      </c>
      <c r="E48" s="83">
        <v>2</v>
      </c>
      <c r="F48" s="83">
        <v>1</v>
      </c>
      <c r="G48" s="83"/>
      <c r="H48" s="81">
        <f>SUM(C48:F48)</f>
        <v>3</v>
      </c>
      <c r="I48" s="87"/>
      <c r="J48" s="89"/>
      <c r="K48"/>
      <c r="L48" s="72"/>
      <c r="M48" s="72"/>
      <c r="N48" s="72"/>
      <c r="O48" s="72"/>
      <c r="P48" s="72"/>
      <c r="Q48" s="72"/>
      <c r="R48" s="72"/>
      <c r="S48" s="72"/>
    </row>
    <row r="49" spans="1:19" ht="18" customHeight="1">
      <c r="A49" s="120"/>
      <c r="B49" s="90">
        <v>1401</v>
      </c>
      <c r="C49" s="91">
        <v>0</v>
      </c>
      <c r="D49" s="92">
        <v>8</v>
      </c>
      <c r="E49" s="92">
        <v>8</v>
      </c>
      <c r="F49" s="92">
        <v>3</v>
      </c>
      <c r="G49" s="92"/>
      <c r="H49" s="81">
        <v>19</v>
      </c>
      <c r="I49" s="87"/>
      <c r="J49" s="89"/>
      <c r="K49"/>
      <c r="L49" s="72"/>
      <c r="M49" s="72"/>
      <c r="N49" s="72"/>
      <c r="O49" s="72"/>
      <c r="P49" s="72"/>
      <c r="Q49" s="72"/>
      <c r="R49" s="72"/>
      <c r="S49" s="72"/>
    </row>
    <row r="50" spans="1:19" ht="18" customHeight="1">
      <c r="A50" s="120"/>
      <c r="B50" s="84">
        <v>1402</v>
      </c>
      <c r="C50" s="85">
        <v>0</v>
      </c>
      <c r="D50" s="86">
        <v>6</v>
      </c>
      <c r="E50" s="86">
        <v>3</v>
      </c>
      <c r="F50" s="86">
        <v>1</v>
      </c>
      <c r="G50" s="86"/>
      <c r="H50" s="90">
        <v>19</v>
      </c>
      <c r="I50" s="87"/>
      <c r="J50" s="89"/>
      <c r="K50"/>
      <c r="L50" s="72"/>
      <c r="M50" s="72"/>
      <c r="N50" s="72"/>
      <c r="O50" s="72"/>
      <c r="P50" s="72"/>
      <c r="Q50" s="72"/>
      <c r="R50" s="72"/>
      <c r="S50" s="72"/>
    </row>
    <row r="51" spans="1:19" ht="18" customHeight="1">
      <c r="A51" s="120"/>
      <c r="B51" s="81">
        <v>1403</v>
      </c>
      <c r="C51" s="88">
        <v>0</v>
      </c>
      <c r="D51" s="83">
        <v>4</v>
      </c>
      <c r="E51" s="83">
        <v>5</v>
      </c>
      <c r="F51" s="83">
        <v>0</v>
      </c>
      <c r="G51" s="83"/>
      <c r="H51" s="81">
        <f>SUM(C51:G51)</f>
        <v>9</v>
      </c>
      <c r="I51" s="87"/>
      <c r="J51" s="89"/>
      <c r="K51"/>
      <c r="L51" s="72"/>
      <c r="M51" s="72"/>
      <c r="N51" s="72"/>
      <c r="O51" s="72"/>
      <c r="P51" s="72"/>
      <c r="Q51" s="72"/>
      <c r="R51" s="72"/>
      <c r="S51" s="72"/>
    </row>
    <row r="52" spans="1:19" ht="22.5" customHeight="1" thickBot="1">
      <c r="A52" s="121"/>
      <c r="B52" s="94">
        <v>1404</v>
      </c>
      <c r="C52" s="98">
        <v>0</v>
      </c>
      <c r="D52" s="99">
        <v>2</v>
      </c>
      <c r="E52" s="99">
        <v>0</v>
      </c>
      <c r="F52" s="99">
        <v>0</v>
      </c>
      <c r="G52" s="99"/>
      <c r="H52" s="94">
        <f>SUM(C52:G52)</f>
        <v>2</v>
      </c>
      <c r="I52" s="87"/>
      <c r="J52" s="89"/>
      <c r="K52"/>
      <c r="L52" s="72"/>
      <c r="M52" s="72"/>
      <c r="N52" s="72"/>
      <c r="O52" s="72"/>
      <c r="P52" s="72"/>
      <c r="Q52" s="72"/>
      <c r="R52" s="72"/>
      <c r="S52" s="72"/>
    </row>
    <row r="53" spans="1:19" ht="18.75" hidden="1" customHeight="1">
      <c r="A53" s="119" t="s">
        <v>74</v>
      </c>
      <c r="B53" s="77">
        <v>1395</v>
      </c>
      <c r="C53" s="95"/>
      <c r="D53" s="79"/>
      <c r="E53" s="79"/>
      <c r="F53" s="79"/>
      <c r="G53" s="79"/>
      <c r="H53" s="77"/>
      <c r="J53" s="89"/>
      <c r="L53" s="72"/>
      <c r="M53" s="72"/>
      <c r="N53" s="72"/>
      <c r="O53" s="72"/>
      <c r="P53" s="72"/>
      <c r="Q53" s="72"/>
      <c r="R53" s="72"/>
      <c r="S53" s="72"/>
    </row>
    <row r="54" spans="1:19" ht="18.75" customHeight="1">
      <c r="A54" s="120"/>
      <c r="B54" s="100">
        <v>1395</v>
      </c>
      <c r="C54" s="91"/>
      <c r="D54" s="92"/>
      <c r="E54" s="92"/>
      <c r="F54" s="92"/>
      <c r="G54" s="92"/>
      <c r="H54" s="90"/>
      <c r="J54" s="89"/>
      <c r="L54" s="72"/>
      <c r="M54" s="72"/>
      <c r="N54" s="72"/>
      <c r="O54" s="72"/>
      <c r="P54" s="72"/>
      <c r="Q54" s="72"/>
      <c r="R54" s="72"/>
      <c r="S54" s="72"/>
    </row>
    <row r="55" spans="1:19" ht="18.75" customHeight="1">
      <c r="A55" s="120"/>
      <c r="B55" s="81">
        <v>1396</v>
      </c>
      <c r="C55" s="85"/>
      <c r="D55" s="86"/>
      <c r="E55" s="86"/>
      <c r="F55" s="86"/>
      <c r="G55" s="86"/>
      <c r="H55" s="84"/>
      <c r="J55" s="89"/>
      <c r="L55" s="72"/>
      <c r="M55" s="72"/>
      <c r="N55" s="72"/>
      <c r="O55" s="72"/>
      <c r="P55" s="72"/>
      <c r="Q55" s="72"/>
      <c r="R55" s="72"/>
      <c r="S55" s="72"/>
    </row>
    <row r="56" spans="1:19" ht="18.75">
      <c r="A56" s="120"/>
      <c r="B56" s="84">
        <v>1397</v>
      </c>
      <c r="C56" s="85">
        <v>0</v>
      </c>
      <c r="D56" s="86">
        <v>1</v>
      </c>
      <c r="E56" s="86">
        <v>1</v>
      </c>
      <c r="F56" s="86">
        <v>0</v>
      </c>
      <c r="G56" s="86"/>
      <c r="H56" s="84">
        <f>SUM(C56:G56)</f>
        <v>2</v>
      </c>
      <c r="J56" s="89"/>
      <c r="L56" s="72"/>
      <c r="M56" s="72"/>
      <c r="N56" s="72"/>
      <c r="O56" s="72"/>
      <c r="P56" s="72"/>
      <c r="Q56" s="72"/>
      <c r="R56" s="72"/>
      <c r="S56" s="72"/>
    </row>
    <row r="57" spans="1:19" ht="18.75" customHeight="1">
      <c r="A57" s="120"/>
      <c r="B57" s="84">
        <v>1398</v>
      </c>
      <c r="C57" s="103">
        <v>0</v>
      </c>
      <c r="D57" s="83">
        <v>0</v>
      </c>
      <c r="E57" s="83">
        <v>0</v>
      </c>
      <c r="F57" s="83">
        <v>1</v>
      </c>
      <c r="G57" s="86"/>
      <c r="H57" s="84">
        <f t="shared" ref="H57:H61" si="3">SUM(C57:G57)</f>
        <v>1</v>
      </c>
      <c r="J57" s="89"/>
      <c r="L57" s="72"/>
      <c r="M57" s="72"/>
      <c r="N57" s="72"/>
      <c r="O57" s="72"/>
      <c r="P57" s="72"/>
      <c r="Q57" s="72"/>
      <c r="R57" s="72"/>
      <c r="S57" s="72"/>
    </row>
    <row r="58" spans="1:19" ht="18" customHeight="1">
      <c r="A58" s="120"/>
      <c r="B58" s="84">
        <v>1399</v>
      </c>
      <c r="C58" s="91">
        <v>0</v>
      </c>
      <c r="D58" s="92">
        <v>0</v>
      </c>
      <c r="E58" s="92">
        <v>0</v>
      </c>
      <c r="F58" s="92">
        <v>0</v>
      </c>
      <c r="G58" s="86"/>
      <c r="H58" s="84">
        <f t="shared" si="3"/>
        <v>0</v>
      </c>
      <c r="I58" s="87"/>
      <c r="J58" s="89"/>
      <c r="K58"/>
      <c r="L58" s="72"/>
      <c r="M58" s="72"/>
      <c r="N58" s="72"/>
      <c r="O58" s="72"/>
      <c r="P58" s="72"/>
      <c r="Q58" s="72"/>
      <c r="R58" s="72"/>
      <c r="S58" s="72"/>
    </row>
    <row r="59" spans="1:19" ht="18" customHeight="1">
      <c r="A59" s="120"/>
      <c r="B59" s="81">
        <v>1400</v>
      </c>
      <c r="C59" s="88">
        <v>2</v>
      </c>
      <c r="D59" s="83">
        <v>1</v>
      </c>
      <c r="E59" s="83">
        <v>1</v>
      </c>
      <c r="F59" s="83">
        <v>1</v>
      </c>
      <c r="G59" s="83"/>
      <c r="H59" s="84">
        <f t="shared" si="3"/>
        <v>5</v>
      </c>
      <c r="I59" s="87"/>
      <c r="J59" s="89"/>
      <c r="K59"/>
      <c r="L59" s="72"/>
      <c r="M59" s="72"/>
      <c r="N59" s="72"/>
      <c r="O59" s="72"/>
      <c r="P59" s="72"/>
      <c r="Q59" s="72"/>
      <c r="R59" s="72"/>
      <c r="S59" s="72"/>
    </row>
    <row r="60" spans="1:19" ht="18" customHeight="1">
      <c r="A60" s="120"/>
      <c r="B60" s="90">
        <v>1401</v>
      </c>
      <c r="C60" s="91">
        <v>0</v>
      </c>
      <c r="D60" s="92">
        <v>1</v>
      </c>
      <c r="E60" s="92">
        <v>1</v>
      </c>
      <c r="F60" s="92">
        <v>0</v>
      </c>
      <c r="G60" s="92"/>
      <c r="H60" s="84">
        <f t="shared" si="3"/>
        <v>2</v>
      </c>
      <c r="I60" s="87"/>
      <c r="J60" s="89"/>
      <c r="K60"/>
      <c r="L60" s="72"/>
      <c r="M60" s="72"/>
      <c r="N60" s="72"/>
      <c r="O60" s="72"/>
      <c r="P60" s="72"/>
      <c r="Q60" s="72"/>
      <c r="R60" s="72"/>
      <c r="S60" s="72"/>
    </row>
    <row r="61" spans="1:19" ht="18" customHeight="1">
      <c r="A61" s="120"/>
      <c r="B61" s="84">
        <v>1402</v>
      </c>
      <c r="C61" s="85">
        <v>5</v>
      </c>
      <c r="D61" s="86">
        <v>5</v>
      </c>
      <c r="E61" s="86">
        <v>1</v>
      </c>
      <c r="F61" s="86">
        <v>2</v>
      </c>
      <c r="G61" s="86"/>
      <c r="H61" s="84">
        <f t="shared" si="3"/>
        <v>13</v>
      </c>
      <c r="I61" s="87"/>
      <c r="J61" s="89"/>
      <c r="K61"/>
      <c r="L61" s="72"/>
      <c r="M61" s="72"/>
      <c r="N61" s="72"/>
      <c r="O61" s="72"/>
      <c r="P61" s="72"/>
      <c r="Q61" s="72"/>
      <c r="R61" s="72"/>
      <c r="S61" s="72"/>
    </row>
    <row r="62" spans="1:19" ht="18" customHeight="1">
      <c r="A62" s="120"/>
      <c r="B62" s="81">
        <v>1403</v>
      </c>
      <c r="C62" s="88">
        <v>1</v>
      </c>
      <c r="D62" s="83">
        <v>3</v>
      </c>
      <c r="E62" s="83">
        <v>1</v>
      </c>
      <c r="F62" s="83">
        <v>0</v>
      </c>
      <c r="G62" s="83"/>
      <c r="H62" s="81">
        <f>SUM(C62:G62)</f>
        <v>5</v>
      </c>
      <c r="I62" s="87"/>
      <c r="J62" s="89"/>
      <c r="K62"/>
      <c r="L62" s="72"/>
      <c r="M62" s="72"/>
      <c r="N62" s="72"/>
      <c r="O62" s="72"/>
      <c r="P62" s="72"/>
      <c r="Q62" s="72"/>
      <c r="R62" s="72"/>
      <c r="S62" s="72"/>
    </row>
    <row r="63" spans="1:19" ht="18" customHeight="1" thickBot="1">
      <c r="A63" s="121"/>
      <c r="B63" s="94">
        <v>1404</v>
      </c>
      <c r="C63" s="98">
        <v>1</v>
      </c>
      <c r="D63" s="99">
        <v>1</v>
      </c>
      <c r="E63" s="99">
        <v>0</v>
      </c>
      <c r="F63" s="99">
        <v>0</v>
      </c>
      <c r="G63" s="99"/>
      <c r="H63" s="94">
        <f>SUM(C63:G63)</f>
        <v>2</v>
      </c>
      <c r="I63" s="87"/>
      <c r="J63" s="89"/>
      <c r="K63"/>
      <c r="L63" s="72"/>
      <c r="M63" s="72"/>
      <c r="N63" s="72"/>
      <c r="O63" s="72"/>
      <c r="P63" s="72"/>
      <c r="Q63" s="72"/>
      <c r="R63" s="72"/>
      <c r="S63" s="72"/>
    </row>
  </sheetData>
  <mergeCells count="8">
    <mergeCell ref="A43:A52"/>
    <mergeCell ref="A53:A63"/>
    <mergeCell ref="A1:H1"/>
    <mergeCell ref="A2:B2"/>
    <mergeCell ref="A3:A12"/>
    <mergeCell ref="A13:A22"/>
    <mergeCell ref="A23:A32"/>
    <mergeCell ref="A33:A42"/>
  </mergeCells>
  <pageMargins left="0.31496062992125984" right="0.31496062992125984" top="0" bottom="0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پژوهشکده ها</vt:lpstr>
      <vt:lpstr>گزارش کارکنان 14041229</vt:lpstr>
      <vt:lpstr>آماردانشجویی14041229</vt:lpstr>
      <vt:lpstr>پروژه منعقد شده</vt:lpstr>
      <vt:lpstr>'پروژه منعقد شده'!Print_Titles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2026-09-20T08:47:17Z</dcterms:modified>
</cp:coreProperties>
</file>